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up01\Desktop\"/>
    </mc:Choice>
  </mc:AlternateContent>
  <bookViews>
    <workbookView xWindow="0" yWindow="0" windowWidth="28800" windowHeight="12255"/>
  </bookViews>
  <sheets>
    <sheet name="Example Problem 1" sheetId="1" r:id="rId1"/>
    <sheet name="712-C-710_EP1_CS" sheetId="2" r:id="rId2"/>
    <sheet name="712-C-910_EP1_1.25cr-0.5Mo" sheetId="3" r:id="rId3"/>
  </sheets>
  <definedNames>
    <definedName name="_xlnm.Print_Area" localSheetId="1">'712-C-710_EP1_CS'!$A$1:$W$101</definedName>
    <definedName name="_xlnm.Print_Area" localSheetId="2">'712-C-910_EP1_1.25cr-0.5Mo'!$A$1:$W$101</definedName>
    <definedName name="_xlnm.Print_Area" localSheetId="0">'Example Problem 1'!$A$1:$W$101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8" i="3" l="1"/>
  <c r="M70" i="3"/>
  <c r="N36" i="3"/>
  <c r="E36" i="3"/>
  <c r="E34" i="3"/>
  <c r="G27" i="3"/>
  <c r="G26" i="3"/>
  <c r="F63" i="3" s="1"/>
  <c r="G25" i="3"/>
  <c r="S18" i="3"/>
  <c r="K18" i="3"/>
  <c r="G18" i="3"/>
  <c r="S17" i="3"/>
  <c r="K15" i="3"/>
  <c r="G15" i="3"/>
  <c r="E78" i="2"/>
  <c r="M70" i="2"/>
  <c r="F63" i="2"/>
  <c r="N36" i="2"/>
  <c r="E36" i="2"/>
  <c r="E34" i="2"/>
  <c r="G27" i="2"/>
  <c r="G26" i="2"/>
  <c r="F51" i="2" s="1"/>
  <c r="G25" i="2"/>
  <c r="K18" i="2"/>
  <c r="G18" i="2"/>
  <c r="S17" i="2"/>
  <c r="S18" i="2" s="1"/>
  <c r="K15" i="2"/>
  <c r="G15" i="2"/>
  <c r="E78" i="1"/>
  <c r="M70" i="1"/>
  <c r="N36" i="1"/>
  <c r="E36" i="1"/>
  <c r="E34" i="1"/>
  <c r="G27" i="1"/>
  <c r="G25" i="1"/>
  <c r="S18" i="1"/>
  <c r="K18" i="1"/>
  <c r="G18" i="1"/>
  <c r="S17" i="1"/>
  <c r="K15" i="1"/>
  <c r="G26" i="1" s="1"/>
  <c r="G15" i="1"/>
  <c r="F44" i="1" l="1"/>
  <c r="F65" i="1" s="1"/>
  <c r="F66" i="1" s="1"/>
  <c r="F63" i="1"/>
  <c r="F51" i="1"/>
  <c r="F44" i="3"/>
  <c r="F65" i="3" s="1"/>
  <c r="F66" i="3" s="1"/>
  <c r="F44" i="2"/>
  <c r="F65" i="2" s="1"/>
  <c r="F66" i="2" s="1"/>
  <c r="F51" i="3"/>
</calcChain>
</file>

<file path=xl/sharedStrings.xml><?xml version="1.0" encoding="utf-8"?>
<sst xmlns="http://schemas.openxmlformats.org/spreadsheetml/2006/main" count="282" uniqueCount="126">
  <si>
    <t>Assessment of components operating in the creep range Based on API579-1/ASME FFS-1, Part 10</t>
    <phoneticPr fontId="2" type="noConversion"/>
  </si>
  <si>
    <t>1. Desigen Data</t>
    <phoneticPr fontId="2" type="noConversion"/>
  </si>
  <si>
    <t>Item No.</t>
    <phoneticPr fontId="2" type="noConversion"/>
  </si>
  <si>
    <t>=</t>
    <phoneticPr fontId="2" type="noConversion"/>
  </si>
  <si>
    <t>EXAMPLE 1(API 579-2/ASME FFS-2)</t>
    <phoneticPr fontId="2" type="noConversion"/>
  </si>
  <si>
    <t>Component</t>
    <phoneticPr fontId="2" type="noConversion"/>
  </si>
  <si>
    <t>=</t>
    <phoneticPr fontId="2" type="noConversion"/>
  </si>
  <si>
    <t>Cylindrical Shell and 2:1 Elliptical Head</t>
    <phoneticPr fontId="2" type="noConversion"/>
  </si>
  <si>
    <t>Material</t>
    <phoneticPr fontId="2" type="noConversion"/>
  </si>
  <si>
    <t>SA-516 Gr 70 + S5</t>
    <phoneticPr fontId="2" type="noConversion"/>
  </si>
  <si>
    <t>Inside Diameter(mm)</t>
    <phoneticPr fontId="2" type="noConversion"/>
  </si>
  <si>
    <t>Fabricated Thickness for shell(mm)</t>
    <phoneticPr fontId="2" type="noConversion"/>
  </si>
  <si>
    <t>Fabricated Thickness for Head(mm)</t>
    <phoneticPr fontId="2" type="noConversion"/>
  </si>
  <si>
    <t>Future Corrosion Allowance(FCA)</t>
    <phoneticPr fontId="2" type="noConversion"/>
  </si>
  <si>
    <t>Weld Joint Efficiency, E</t>
    <phoneticPr fontId="2" type="noConversion"/>
  </si>
  <si>
    <t>=</t>
    <phoneticPr fontId="2" type="noConversion"/>
  </si>
  <si>
    <t>Unsupported Length(mm)</t>
    <phoneticPr fontId="2" type="noConversion"/>
  </si>
  <si>
    <t>j</t>
    <phoneticPr fontId="2" type="noConversion"/>
  </si>
  <si>
    <t>Total</t>
    <phoneticPr fontId="2" type="noConversion"/>
  </si>
  <si>
    <t>Pressure (kg/mm^2)</t>
    <phoneticPr fontId="2" type="noConversion"/>
  </si>
  <si>
    <t>-</t>
    <phoneticPr fontId="2" type="noConversion"/>
  </si>
  <si>
    <r>
      <t>Temperature (</t>
    </r>
    <r>
      <rPr>
        <sz val="11"/>
        <color theme="1"/>
        <rFont val="맑은 고딕"/>
        <family val="3"/>
        <charset val="129"/>
      </rPr>
      <t>℃</t>
    </r>
    <r>
      <rPr>
        <sz val="11"/>
        <color theme="1"/>
        <rFont val="Calibri"/>
        <family val="2"/>
      </rPr>
      <t>)</t>
    </r>
    <phoneticPr fontId="2" type="noConversion"/>
  </si>
  <si>
    <t>Duration (hours)</t>
    <phoneticPr fontId="2" type="noConversion"/>
  </si>
  <si>
    <t>Duration (years)</t>
    <phoneticPr fontId="2" type="noConversion"/>
  </si>
  <si>
    <t>2. Level 1 Assessment for Cylindrical Shell</t>
    <phoneticPr fontId="2" type="noConversion"/>
  </si>
  <si>
    <t>a)</t>
    <phoneticPr fontId="2" type="noConversion"/>
  </si>
  <si>
    <t>STEP 1 - Determine the maximum operating temperature, pressure, and service time</t>
    <phoneticPr fontId="2" type="noConversion"/>
  </si>
  <si>
    <t>the component was exposed to. Since the component contains a weld seam exposed to the</t>
    <phoneticPr fontId="2" type="noConversion"/>
  </si>
  <si>
    <r>
      <t>excursion conditons, 4</t>
    </r>
    <r>
      <rPr>
        <sz val="11"/>
        <color theme="1"/>
        <rFont val="맑은 고딕"/>
        <family val="3"/>
        <charset val="129"/>
      </rPr>
      <t>℃</t>
    </r>
    <r>
      <rPr>
        <sz val="11"/>
        <color theme="1"/>
        <rFont val="Calibri"/>
        <family val="2"/>
      </rPr>
      <t xml:space="preserve"> shall be added to the maximum operating temperature.</t>
    </r>
    <phoneticPr fontId="2" type="noConversion"/>
  </si>
  <si>
    <t>T max</t>
    <phoneticPr fontId="2" type="noConversion"/>
  </si>
  <si>
    <t>=</t>
    <phoneticPr fontId="2" type="noConversion"/>
  </si>
  <si>
    <t>P max</t>
    <phoneticPr fontId="2" type="noConversion"/>
  </si>
  <si>
    <t>=</t>
    <phoneticPr fontId="2" type="noConversion"/>
  </si>
  <si>
    <t>Time</t>
    <phoneticPr fontId="2" type="noConversion"/>
  </si>
  <si>
    <t>b)</t>
    <phoneticPr fontId="2" type="noConversion"/>
  </si>
  <si>
    <t>STEP 2 - Determine the nominal stress of the component for each of the operating conditions defined</t>
    <phoneticPr fontId="2" type="noConversion"/>
  </si>
  <si>
    <t>in STEP 1 using Annex 2C. The computed nomainal stress shall include of service-induced wall thining.</t>
    <phoneticPr fontId="2" type="noConversion"/>
  </si>
  <si>
    <t>Definition of common variables:</t>
    <phoneticPr fontId="2" type="noConversion"/>
  </si>
  <si>
    <t>R</t>
    <phoneticPr fontId="2" type="noConversion"/>
  </si>
  <si>
    <t>I.D/2 + FCA</t>
    <phoneticPr fontId="2" type="noConversion"/>
  </si>
  <si>
    <t>tc(S)</t>
    <phoneticPr fontId="2" type="noConversion"/>
  </si>
  <si>
    <t>t-FCA</t>
    <phoneticPr fontId="2" type="noConversion"/>
  </si>
  <si>
    <t>tc(H)</t>
    <phoneticPr fontId="2" type="noConversion"/>
  </si>
  <si>
    <t>Supplemental loadings are not considered in this calculation.</t>
    <phoneticPr fontId="2" type="noConversion"/>
  </si>
  <si>
    <t>Cylindrical shell circumferential membrane stress (2C.11)</t>
    <phoneticPr fontId="2" type="noConversion"/>
  </si>
  <si>
    <r>
      <rPr>
        <sz val="11"/>
        <color theme="1"/>
        <rFont val="맑은 고딕"/>
        <family val="3"/>
        <charset val="129"/>
      </rPr>
      <t>σ</t>
    </r>
    <r>
      <rPr>
        <sz val="11"/>
        <color theme="1"/>
        <rFont val="Calibri"/>
        <family val="2"/>
      </rPr>
      <t>cm</t>
    </r>
    <phoneticPr fontId="2" type="noConversion"/>
  </si>
  <si>
    <t>kg/mm^2</t>
    <phoneticPr fontId="2" type="noConversion"/>
  </si>
  <si>
    <t>Cylindrical shell longitudinal membrane stress (2C.17)</t>
    <phoneticPr fontId="2" type="noConversion"/>
  </si>
  <si>
    <r>
      <rPr>
        <sz val="11"/>
        <color theme="1"/>
        <rFont val="맑은 고딕"/>
        <family val="3"/>
        <charset val="129"/>
      </rPr>
      <t>σ</t>
    </r>
    <r>
      <rPr>
        <sz val="11"/>
        <color theme="1"/>
        <rFont val="Calibri"/>
        <family val="2"/>
      </rPr>
      <t>Lm</t>
    </r>
    <phoneticPr fontId="2" type="noConversion"/>
  </si>
  <si>
    <t xml:space="preserve">Elliptical head membrane stress (2C.33 and 2C.32) </t>
    <phoneticPr fontId="2" type="noConversion"/>
  </si>
  <si>
    <r>
      <rPr>
        <sz val="11"/>
        <color theme="1"/>
        <rFont val="맑은 고딕"/>
        <family val="3"/>
        <charset val="129"/>
      </rPr>
      <t>σ</t>
    </r>
    <r>
      <rPr>
        <sz val="11"/>
        <color theme="1"/>
        <rFont val="Calibri"/>
        <family val="2"/>
      </rPr>
      <t>m[H]</t>
    </r>
    <phoneticPr fontId="2" type="noConversion"/>
  </si>
  <si>
    <t>σmax</t>
    <phoneticPr fontId="2" type="noConversion"/>
  </si>
  <si>
    <t>max ( σcm, σLm, σm[H])</t>
    <phoneticPr fontId="2" type="noConversion"/>
  </si>
  <si>
    <t>Mpa</t>
    <phoneticPr fontId="2" type="noConversion"/>
  </si>
  <si>
    <t>c)</t>
    <phoneticPr fontId="2" type="noConversion"/>
  </si>
  <si>
    <t>STEP 3 - Determine the material of construction for component and find the figure with damage</t>
    <phoneticPr fontId="2" type="noConversion"/>
  </si>
  <si>
    <t>curves to be used for the Level 1 assessment from Figures 10.3 through 10.25</t>
    <phoneticPr fontId="2" type="noConversion"/>
  </si>
  <si>
    <t>the cylindrical shell and head are constructed of</t>
    <phoneticPr fontId="2" type="noConversion"/>
  </si>
  <si>
    <t>, therefore, Figure</t>
    <phoneticPr fontId="2" type="noConversion"/>
  </si>
  <si>
    <t>10.3M</t>
    <phoneticPr fontId="2" type="noConversion"/>
  </si>
  <si>
    <t>shall be used for the analysis.</t>
    <phoneticPr fontId="2" type="noConversion"/>
  </si>
  <si>
    <t>d)</t>
    <phoneticPr fontId="2" type="noConversion"/>
  </si>
  <si>
    <t>STEP 4 – Determine the maximum permissible time for operation based on the screening curve</t>
    <phoneticPr fontId="2" type="noConversion"/>
  </si>
  <si>
    <t>obtained from STEP 3, the nominal stress from STEP 2, and the assessment temperature from STEP 1.</t>
    <phoneticPr fontId="2" type="noConversion"/>
  </si>
  <si>
    <t xml:space="preserve"> If the time determined from the screening curve exceeds the service time for the component from</t>
    <phoneticPr fontId="2" type="noConversion"/>
  </si>
  <si>
    <t>STEP 1, then the component is acceptable per the Level 1 Assessment procedure.</t>
    <phoneticPr fontId="2" type="noConversion"/>
  </si>
  <si>
    <t xml:space="preserve">From Figure </t>
    <phoneticPr fontId="2" type="noConversion"/>
  </si>
  <si>
    <t xml:space="preserve">, </t>
    <phoneticPr fontId="2" type="noConversion"/>
  </si>
  <si>
    <r>
      <t>the acceptable creep life of shell and head at 10 Mpa and 580</t>
    </r>
    <r>
      <rPr>
        <sz val="11"/>
        <color rgb="FFFF0000"/>
        <rFont val="맑은 고딕"/>
        <family val="3"/>
        <charset val="129"/>
      </rPr>
      <t>℃</t>
    </r>
    <phoneticPr fontId="2" type="noConversion"/>
  </si>
  <si>
    <t>is over 250,000 hours(28.538 years).</t>
    <phoneticPr fontId="2" type="noConversion"/>
  </si>
  <si>
    <t>Assessment of components operating in the creep range Based on API579-1/ASME FFS-1, Part 10</t>
    <phoneticPr fontId="2" type="noConversion"/>
  </si>
  <si>
    <t>1. Desigen Data</t>
    <phoneticPr fontId="2" type="noConversion"/>
  </si>
  <si>
    <t>Item No.</t>
    <phoneticPr fontId="2" type="noConversion"/>
  </si>
  <si>
    <t>712-C-710A/B</t>
    <phoneticPr fontId="2" type="noConversion"/>
  </si>
  <si>
    <t>Component</t>
    <phoneticPr fontId="2" type="noConversion"/>
  </si>
  <si>
    <t>Cylindrical Shell and 2:1 Elliptical Head</t>
    <phoneticPr fontId="2" type="noConversion"/>
  </si>
  <si>
    <t>Material</t>
    <phoneticPr fontId="2" type="noConversion"/>
  </si>
  <si>
    <t>SA-516 Gr 70 + S5</t>
    <phoneticPr fontId="2" type="noConversion"/>
  </si>
  <si>
    <t>Inside Diameter(mm)</t>
    <phoneticPr fontId="2" type="noConversion"/>
  </si>
  <si>
    <t>Fabricated Thickness for shell(mm)</t>
    <phoneticPr fontId="2" type="noConversion"/>
  </si>
  <si>
    <t>Fabricated Thickness for Head(mm)</t>
    <phoneticPr fontId="2" type="noConversion"/>
  </si>
  <si>
    <t>Future Corrosion Allowance(FCA)</t>
    <phoneticPr fontId="2" type="noConversion"/>
  </si>
  <si>
    <t>-</t>
    <phoneticPr fontId="2" type="noConversion"/>
  </si>
  <si>
    <r>
      <t>Temperature (</t>
    </r>
    <r>
      <rPr>
        <sz val="11"/>
        <color theme="1"/>
        <rFont val="맑은 고딕"/>
        <family val="3"/>
        <charset val="129"/>
      </rPr>
      <t>℃</t>
    </r>
    <r>
      <rPr>
        <sz val="11"/>
        <color theme="1"/>
        <rFont val="Calibri"/>
        <family val="2"/>
      </rPr>
      <t>)</t>
    </r>
    <phoneticPr fontId="2" type="noConversion"/>
  </si>
  <si>
    <t>Duration (hours)</t>
    <phoneticPr fontId="2" type="noConversion"/>
  </si>
  <si>
    <t>Duration (years)</t>
    <phoneticPr fontId="2" type="noConversion"/>
  </si>
  <si>
    <t>2. Level 1 Assessment for Cylindrical Shell</t>
    <phoneticPr fontId="2" type="noConversion"/>
  </si>
  <si>
    <t>the component was exposed to. Since the component contains a weld seam exposed to the</t>
    <phoneticPr fontId="2" type="noConversion"/>
  </si>
  <si>
    <r>
      <t>excursion conditons, 4</t>
    </r>
    <r>
      <rPr>
        <sz val="11"/>
        <color theme="1"/>
        <rFont val="맑은 고딕"/>
        <family val="3"/>
        <charset val="129"/>
      </rPr>
      <t>℃</t>
    </r>
    <r>
      <rPr>
        <sz val="11"/>
        <color theme="1"/>
        <rFont val="Calibri"/>
        <family val="2"/>
      </rPr>
      <t xml:space="preserve"> shall be added to the maximum operating temperature.</t>
    </r>
    <phoneticPr fontId="2" type="noConversion"/>
  </si>
  <si>
    <t>T max</t>
    <phoneticPr fontId="2" type="noConversion"/>
  </si>
  <si>
    <t>P max</t>
    <phoneticPr fontId="2" type="noConversion"/>
  </si>
  <si>
    <t>Time</t>
    <phoneticPr fontId="2" type="noConversion"/>
  </si>
  <si>
    <r>
      <t>the acceptable creep life of shell and head at 1.73 Mpa and 538</t>
    </r>
    <r>
      <rPr>
        <sz val="11"/>
        <color rgb="FFFF0000"/>
        <rFont val="맑은 고딕"/>
        <family val="3"/>
        <charset val="129"/>
      </rPr>
      <t>℃</t>
    </r>
    <phoneticPr fontId="2" type="noConversion"/>
  </si>
  <si>
    <t>712-C-910A/B</t>
    <phoneticPr fontId="2" type="noConversion"/>
  </si>
  <si>
    <t>=</t>
    <phoneticPr fontId="2" type="noConversion"/>
  </si>
  <si>
    <t>Cylindrical Shell and 2:1 Elliptical Head</t>
    <phoneticPr fontId="2" type="noConversion"/>
  </si>
  <si>
    <t>=</t>
    <phoneticPr fontId="2" type="noConversion"/>
  </si>
  <si>
    <t>SA-387 Gr 11 CL.2 + S5</t>
    <phoneticPr fontId="2" type="noConversion"/>
  </si>
  <si>
    <t>Inside Diameter(mm)</t>
    <phoneticPr fontId="2" type="noConversion"/>
  </si>
  <si>
    <t>Fabricated Thickness for Head(mm)</t>
    <phoneticPr fontId="2" type="noConversion"/>
  </si>
  <si>
    <r>
      <t>Temperature (</t>
    </r>
    <r>
      <rPr>
        <sz val="11"/>
        <color theme="1"/>
        <rFont val="맑은 고딕"/>
        <family val="3"/>
        <charset val="129"/>
      </rPr>
      <t>℃</t>
    </r>
    <r>
      <rPr>
        <sz val="11"/>
        <color theme="1"/>
        <rFont val="Calibri"/>
        <family val="2"/>
      </rPr>
      <t>)</t>
    </r>
    <phoneticPr fontId="2" type="noConversion"/>
  </si>
  <si>
    <t>-</t>
    <phoneticPr fontId="2" type="noConversion"/>
  </si>
  <si>
    <t>a)</t>
    <phoneticPr fontId="2" type="noConversion"/>
  </si>
  <si>
    <t>STEP 1 - Determine the maximum operating temperature, pressure, and service time</t>
    <phoneticPr fontId="2" type="noConversion"/>
  </si>
  <si>
    <r>
      <t>excursion conditons, 4</t>
    </r>
    <r>
      <rPr>
        <sz val="11"/>
        <color theme="1"/>
        <rFont val="맑은 고딕"/>
        <family val="3"/>
        <charset val="129"/>
      </rPr>
      <t>℃</t>
    </r>
    <r>
      <rPr>
        <sz val="11"/>
        <color theme="1"/>
        <rFont val="Calibri"/>
        <family val="2"/>
      </rPr>
      <t xml:space="preserve"> shall be added to the maximum operating temperature.</t>
    </r>
    <phoneticPr fontId="2" type="noConversion"/>
  </si>
  <si>
    <t>=</t>
    <phoneticPr fontId="2" type="noConversion"/>
  </si>
  <si>
    <t>Time</t>
    <phoneticPr fontId="2" type="noConversion"/>
  </si>
  <si>
    <t>b)</t>
    <phoneticPr fontId="2" type="noConversion"/>
  </si>
  <si>
    <t>STEP 2 - Determine the nominal stress of the component for each of the operating conditions defined</t>
    <phoneticPr fontId="2" type="noConversion"/>
  </si>
  <si>
    <t>in STEP 1 using Annex 2C. The computed nomainal stress shall include of service-induced wall thining.</t>
    <phoneticPr fontId="2" type="noConversion"/>
  </si>
  <si>
    <t>R</t>
    <phoneticPr fontId="2" type="noConversion"/>
  </si>
  <si>
    <t>I.D/2 + FCA</t>
    <phoneticPr fontId="2" type="noConversion"/>
  </si>
  <si>
    <t>tc(H)</t>
    <phoneticPr fontId="2" type="noConversion"/>
  </si>
  <si>
    <t>kg/mm^2</t>
    <phoneticPr fontId="2" type="noConversion"/>
  </si>
  <si>
    <t>max ( σcm, σLm, σm[H])</t>
    <phoneticPr fontId="2" type="noConversion"/>
  </si>
  <si>
    <t>kg/mm^2</t>
    <phoneticPr fontId="2" type="noConversion"/>
  </si>
  <si>
    <t>Mpa</t>
    <phoneticPr fontId="2" type="noConversion"/>
  </si>
  <si>
    <t>STEP 3 - Determine the material of construction for component and find the figure with damage</t>
    <phoneticPr fontId="2" type="noConversion"/>
  </si>
  <si>
    <t>curves to be used for the Level 1 assessment from Figures 10.3 through 10.25</t>
    <phoneticPr fontId="2" type="noConversion"/>
  </si>
  <si>
    <t>, therefore, Figure</t>
    <phoneticPr fontId="2" type="noConversion"/>
  </si>
  <si>
    <t>10.6M</t>
    <phoneticPr fontId="2" type="noConversion"/>
  </si>
  <si>
    <t>shall be used for the analysis.</t>
    <phoneticPr fontId="2" type="noConversion"/>
  </si>
  <si>
    <t>STEP 4 – Determine the maximum permissible time for operation based on the screening curve</t>
    <phoneticPr fontId="2" type="noConversion"/>
  </si>
  <si>
    <t>obtained from STEP 3, the nominal stress from STEP 2, and the assessment temperature from STEP 1.</t>
    <phoneticPr fontId="2" type="noConversion"/>
  </si>
  <si>
    <t>STEP 1, then the component is acceptable per the Level 1 Assessment procedure.</t>
    <phoneticPr fontId="2" type="noConversion"/>
  </si>
  <si>
    <r>
      <t>the acceptable creep life of shell and head at 8.44 Mpa and 540</t>
    </r>
    <r>
      <rPr>
        <sz val="11"/>
        <color rgb="FFFF0000"/>
        <rFont val="맑은 고딕"/>
        <family val="3"/>
        <charset val="129"/>
      </rPr>
      <t>℃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</si>
</sst>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00"/>
    <numFmt numFmtId="177" formatCode="0.0000"/>
  </numFmts>
  <fonts count="10" x14ac:knownFonts="1">
    <font>
      <sz val="11"/>
      <color theme="1"/>
      <name val="맑은 고딕"/>
      <family val="2"/>
      <charset val="129"/>
      <scheme val="minor"/>
    </font>
    <font>
      <b/>
      <u/>
      <sz val="11"/>
      <color theme="1"/>
      <name val="Calibri"/>
      <family val="2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rgb="FFFF0000"/>
      <name val="Calibri"/>
      <family val="2"/>
    </font>
    <font>
      <sz val="11"/>
      <color rgb="FFFF0000"/>
      <name val="맑은 고딕"/>
      <family val="3"/>
      <charset val="129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39</xdr:row>
      <xdr:rowOff>19050</xdr:rowOff>
    </xdr:from>
    <xdr:to>
      <xdr:col>7</xdr:col>
      <xdr:colOff>199829</xdr:colOff>
      <xdr:row>42</xdr:row>
      <xdr:rowOff>76121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7581900"/>
          <a:ext cx="1571429" cy="6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46</xdr:row>
      <xdr:rowOff>19050</xdr:rowOff>
    </xdr:from>
    <xdr:to>
      <xdr:col>7</xdr:col>
      <xdr:colOff>237925</xdr:colOff>
      <xdr:row>49</xdr:row>
      <xdr:rowOff>66598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8934450"/>
          <a:ext cx="1600000" cy="6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52</xdr:row>
      <xdr:rowOff>38100</xdr:rowOff>
    </xdr:from>
    <xdr:to>
      <xdr:col>6</xdr:col>
      <xdr:colOff>276056</xdr:colOff>
      <xdr:row>57</xdr:row>
      <xdr:rowOff>104648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1025" y="10115550"/>
          <a:ext cx="1352381" cy="10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58</xdr:row>
      <xdr:rowOff>47625</xdr:rowOff>
    </xdr:from>
    <xdr:to>
      <xdr:col>7</xdr:col>
      <xdr:colOff>133163</xdr:colOff>
      <xdr:row>61</xdr:row>
      <xdr:rowOff>28506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0" y="11268075"/>
          <a:ext cx="1495238" cy="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79</xdr:row>
      <xdr:rowOff>28574</xdr:rowOff>
    </xdr:from>
    <xdr:to>
      <xdr:col>20</xdr:col>
      <xdr:colOff>184699</xdr:colOff>
      <xdr:row>100</xdr:row>
      <xdr:rowOff>133350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1975" y="15306674"/>
          <a:ext cx="5147224" cy="41052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39</xdr:row>
      <xdr:rowOff>19050</xdr:rowOff>
    </xdr:from>
    <xdr:to>
      <xdr:col>7</xdr:col>
      <xdr:colOff>199829</xdr:colOff>
      <xdr:row>42</xdr:row>
      <xdr:rowOff>76121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7581900"/>
          <a:ext cx="1571429" cy="6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46</xdr:row>
      <xdr:rowOff>19050</xdr:rowOff>
    </xdr:from>
    <xdr:to>
      <xdr:col>7</xdr:col>
      <xdr:colOff>237925</xdr:colOff>
      <xdr:row>49</xdr:row>
      <xdr:rowOff>66598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8934450"/>
          <a:ext cx="1600000" cy="6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52</xdr:row>
      <xdr:rowOff>38100</xdr:rowOff>
    </xdr:from>
    <xdr:to>
      <xdr:col>6</xdr:col>
      <xdr:colOff>276056</xdr:colOff>
      <xdr:row>57</xdr:row>
      <xdr:rowOff>104648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1025" y="10115550"/>
          <a:ext cx="1352381" cy="10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58</xdr:row>
      <xdr:rowOff>47625</xdr:rowOff>
    </xdr:from>
    <xdr:to>
      <xdr:col>7</xdr:col>
      <xdr:colOff>133163</xdr:colOff>
      <xdr:row>61</xdr:row>
      <xdr:rowOff>28506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0" y="11268075"/>
          <a:ext cx="1495238" cy="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79</xdr:row>
      <xdr:rowOff>57149</xdr:rowOff>
    </xdr:from>
    <xdr:to>
      <xdr:col>20</xdr:col>
      <xdr:colOff>184699</xdr:colOff>
      <xdr:row>100</xdr:row>
      <xdr:rowOff>161925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1975" y="15335249"/>
          <a:ext cx="5147224" cy="41052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39</xdr:row>
      <xdr:rowOff>19050</xdr:rowOff>
    </xdr:from>
    <xdr:to>
      <xdr:col>7</xdr:col>
      <xdr:colOff>199829</xdr:colOff>
      <xdr:row>42</xdr:row>
      <xdr:rowOff>76121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7581900"/>
          <a:ext cx="1571429" cy="6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46</xdr:row>
      <xdr:rowOff>19050</xdr:rowOff>
    </xdr:from>
    <xdr:to>
      <xdr:col>7</xdr:col>
      <xdr:colOff>237925</xdr:colOff>
      <xdr:row>49</xdr:row>
      <xdr:rowOff>66598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8934450"/>
          <a:ext cx="1600000" cy="6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52</xdr:row>
      <xdr:rowOff>38100</xdr:rowOff>
    </xdr:from>
    <xdr:to>
      <xdr:col>6</xdr:col>
      <xdr:colOff>276056</xdr:colOff>
      <xdr:row>57</xdr:row>
      <xdr:rowOff>104648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1025" y="10115550"/>
          <a:ext cx="1352381" cy="10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58</xdr:row>
      <xdr:rowOff>47625</xdr:rowOff>
    </xdr:from>
    <xdr:to>
      <xdr:col>7</xdr:col>
      <xdr:colOff>133163</xdr:colOff>
      <xdr:row>61</xdr:row>
      <xdr:rowOff>28506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0" y="11268075"/>
          <a:ext cx="1495238" cy="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114301</xdr:colOff>
      <xdr:row>79</xdr:row>
      <xdr:rowOff>28575</xdr:rowOff>
    </xdr:from>
    <xdr:to>
      <xdr:col>21</xdr:col>
      <xdr:colOff>190501</xdr:colOff>
      <xdr:row>100</xdr:row>
      <xdr:rowOff>125050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0526" y="15306675"/>
          <a:ext cx="5600700" cy="4096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6"/>
  <sheetViews>
    <sheetView tabSelected="1" view="pageBreakPreview" topLeftCell="A21" zoomScaleNormal="100" zoomScaleSheetLayoutView="100" workbookViewId="0">
      <selection activeCell="T46" sqref="T46"/>
    </sheetView>
  </sheetViews>
  <sheetFormatPr defaultRowHeight="15" x14ac:dyDescent="0.3"/>
  <cols>
    <col min="1" max="237" width="3.625" style="1" customWidth="1"/>
    <col min="238" max="16384" width="9" style="1"/>
  </cols>
  <sheetData>
    <row r="1" spans="1:23" ht="22.5" customHeight="1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3" spans="1:23" x14ac:dyDescent="0.3">
      <c r="A3" s="2" t="s">
        <v>1</v>
      </c>
    </row>
    <row r="4" spans="1:23" x14ac:dyDescent="0.3">
      <c r="A4" s="2"/>
      <c r="B4" s="1" t="s">
        <v>2</v>
      </c>
      <c r="K4" s="1" t="s">
        <v>3</v>
      </c>
      <c r="L4" s="28" t="s">
        <v>4</v>
      </c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3" x14ac:dyDescent="0.3">
      <c r="B5" s="1" t="s">
        <v>5</v>
      </c>
      <c r="K5" s="1" t="s">
        <v>6</v>
      </c>
      <c r="L5" s="28" t="s">
        <v>7</v>
      </c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3" x14ac:dyDescent="0.3">
      <c r="B6" s="1" t="s">
        <v>8</v>
      </c>
      <c r="K6" s="1" t="s">
        <v>6</v>
      </c>
      <c r="L6" s="28" t="s">
        <v>9</v>
      </c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1:23" x14ac:dyDescent="0.3">
      <c r="B7" s="1" t="s">
        <v>10</v>
      </c>
      <c r="K7" s="1" t="s">
        <v>6</v>
      </c>
      <c r="L7" s="28">
        <v>1900</v>
      </c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3" x14ac:dyDescent="0.3">
      <c r="B8" s="1" t="s">
        <v>11</v>
      </c>
      <c r="K8" s="1" t="s">
        <v>6</v>
      </c>
      <c r="L8" s="28">
        <v>32</v>
      </c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3" x14ac:dyDescent="0.3">
      <c r="B9" s="1" t="s">
        <v>12</v>
      </c>
      <c r="K9" s="1" t="s">
        <v>6</v>
      </c>
      <c r="L9" s="28">
        <v>30.6</v>
      </c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pans="1:23" x14ac:dyDescent="0.3">
      <c r="B10" s="1" t="s">
        <v>13</v>
      </c>
      <c r="K10" s="1" t="s">
        <v>6</v>
      </c>
      <c r="L10" s="28">
        <v>3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3" x14ac:dyDescent="0.3">
      <c r="B11" s="1" t="s">
        <v>14</v>
      </c>
      <c r="K11" s="1" t="s">
        <v>15</v>
      </c>
      <c r="L11" s="28">
        <v>1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3" x14ac:dyDescent="0.3">
      <c r="B12" s="1" t="s">
        <v>16</v>
      </c>
      <c r="K12" s="1" t="s">
        <v>15</v>
      </c>
      <c r="L12" s="28">
        <v>4100</v>
      </c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4" spans="1:23" x14ac:dyDescent="0.3">
      <c r="B14" s="29" t="s">
        <v>17</v>
      </c>
      <c r="C14" s="29"/>
      <c r="D14" s="29"/>
      <c r="E14" s="29"/>
      <c r="F14" s="29"/>
      <c r="G14" s="29">
        <v>1</v>
      </c>
      <c r="H14" s="29"/>
      <c r="I14" s="29"/>
      <c r="J14" s="29"/>
      <c r="K14" s="29">
        <v>2</v>
      </c>
      <c r="L14" s="29"/>
      <c r="M14" s="29"/>
      <c r="N14" s="29"/>
      <c r="O14" s="29"/>
      <c r="P14" s="29"/>
      <c r="Q14" s="29"/>
      <c r="R14" s="29"/>
      <c r="S14" s="29" t="s">
        <v>18</v>
      </c>
      <c r="T14" s="29"/>
      <c r="U14" s="29"/>
      <c r="V14" s="29"/>
    </row>
    <row r="15" spans="1:23" x14ac:dyDescent="0.3">
      <c r="B15" s="21" t="s">
        <v>19</v>
      </c>
      <c r="C15" s="22"/>
      <c r="D15" s="22"/>
      <c r="E15" s="22"/>
      <c r="F15" s="23"/>
      <c r="G15" s="26">
        <f>40.5/100</f>
        <v>0.40500000000000003</v>
      </c>
      <c r="H15" s="26"/>
      <c r="I15" s="26"/>
      <c r="J15" s="26"/>
      <c r="K15" s="26">
        <f>0.51/100</f>
        <v>5.1000000000000004E-3</v>
      </c>
      <c r="L15" s="26"/>
      <c r="M15" s="26"/>
      <c r="N15" s="26"/>
      <c r="O15" s="27"/>
      <c r="P15" s="27"/>
      <c r="Q15" s="27"/>
      <c r="R15" s="27"/>
      <c r="S15" s="25" t="s">
        <v>20</v>
      </c>
      <c r="T15" s="25"/>
      <c r="U15" s="25"/>
      <c r="V15" s="25"/>
    </row>
    <row r="16" spans="1:23" ht="16.5" x14ac:dyDescent="0.3">
      <c r="B16" s="21" t="s">
        <v>21</v>
      </c>
      <c r="C16" s="22"/>
      <c r="D16" s="22"/>
      <c r="E16" s="22"/>
      <c r="F16" s="23"/>
      <c r="G16" s="24">
        <v>250</v>
      </c>
      <c r="H16" s="24"/>
      <c r="I16" s="24"/>
      <c r="J16" s="24"/>
      <c r="K16" s="24">
        <v>538</v>
      </c>
      <c r="L16" s="24"/>
      <c r="M16" s="24"/>
      <c r="N16" s="24"/>
      <c r="O16" s="24"/>
      <c r="P16" s="24"/>
      <c r="Q16" s="24"/>
      <c r="R16" s="24"/>
      <c r="S16" s="25" t="s">
        <v>20</v>
      </c>
      <c r="T16" s="25"/>
      <c r="U16" s="25"/>
      <c r="V16" s="25"/>
    </row>
    <row r="17" spans="1:22" x14ac:dyDescent="0.3">
      <c r="B17" s="21" t="s">
        <v>22</v>
      </c>
      <c r="C17" s="22"/>
      <c r="D17" s="22"/>
      <c r="E17" s="22"/>
      <c r="F17" s="23"/>
      <c r="G17" s="24">
        <v>261840</v>
      </c>
      <c r="H17" s="24"/>
      <c r="I17" s="24"/>
      <c r="J17" s="24"/>
      <c r="K17" s="24">
        <v>960</v>
      </c>
      <c r="L17" s="24"/>
      <c r="M17" s="24"/>
      <c r="N17" s="24"/>
      <c r="O17" s="24"/>
      <c r="P17" s="24"/>
      <c r="Q17" s="24"/>
      <c r="R17" s="24"/>
      <c r="S17" s="25">
        <f>SUM(G17:R17)</f>
        <v>262800</v>
      </c>
      <c r="T17" s="25"/>
      <c r="U17" s="25"/>
      <c r="V17" s="25"/>
    </row>
    <row r="18" spans="1:22" x14ac:dyDescent="0.3">
      <c r="B18" s="21" t="s">
        <v>23</v>
      </c>
      <c r="C18" s="22"/>
      <c r="D18" s="22"/>
      <c r="E18" s="22"/>
      <c r="F18" s="23"/>
      <c r="G18" s="25">
        <f>G17/24/365</f>
        <v>29.890410958904109</v>
      </c>
      <c r="H18" s="25"/>
      <c r="I18" s="25"/>
      <c r="J18" s="25"/>
      <c r="K18" s="25">
        <f>K17/24/365</f>
        <v>0.1095890410958904</v>
      </c>
      <c r="L18" s="25"/>
      <c r="M18" s="25"/>
      <c r="N18" s="25"/>
      <c r="O18" s="25"/>
      <c r="P18" s="25"/>
      <c r="Q18" s="25"/>
      <c r="R18" s="25"/>
      <c r="S18" s="25">
        <f>S17/24/365</f>
        <v>30</v>
      </c>
      <c r="T18" s="25"/>
      <c r="U18" s="25"/>
      <c r="V18" s="25"/>
    </row>
    <row r="20" spans="1:22" x14ac:dyDescent="0.3">
      <c r="A20" s="2" t="s">
        <v>24</v>
      </c>
    </row>
    <row r="21" spans="1:22" x14ac:dyDescent="0.3">
      <c r="A21" s="3" t="s">
        <v>25</v>
      </c>
      <c r="B21" s="1" t="s">
        <v>26</v>
      </c>
    </row>
    <row r="22" spans="1:22" x14ac:dyDescent="0.3">
      <c r="B22" s="1" t="s">
        <v>27</v>
      </c>
    </row>
    <row r="23" spans="1:22" ht="16.5" x14ac:dyDescent="0.3">
      <c r="B23" s="1" t="s">
        <v>28</v>
      </c>
    </row>
    <row r="25" spans="1:22" x14ac:dyDescent="0.3">
      <c r="B25" s="1" t="s">
        <v>29</v>
      </c>
      <c r="F25" s="1" t="s">
        <v>30</v>
      </c>
      <c r="G25" s="17">
        <f>K16+4</f>
        <v>542</v>
      </c>
      <c r="H25" s="17"/>
      <c r="I25" s="17"/>
      <c r="J25" s="17"/>
      <c r="O25" s="4"/>
      <c r="P25" s="4"/>
      <c r="Q25" s="5"/>
      <c r="R25" s="5"/>
      <c r="S25" s="5"/>
      <c r="T25" s="5"/>
      <c r="U25" s="5"/>
    </row>
    <row r="26" spans="1:22" x14ac:dyDescent="0.3">
      <c r="B26" s="1" t="s">
        <v>31</v>
      </c>
      <c r="F26" s="1" t="s">
        <v>32</v>
      </c>
      <c r="G26" s="18">
        <f>K15</f>
        <v>5.1000000000000004E-3</v>
      </c>
      <c r="H26" s="18"/>
      <c r="I26" s="18"/>
      <c r="J26" s="18"/>
      <c r="O26" s="4"/>
      <c r="P26" s="4"/>
      <c r="Q26" s="5"/>
      <c r="R26" s="5"/>
      <c r="S26" s="5"/>
      <c r="T26" s="5"/>
      <c r="U26" s="5"/>
    </row>
    <row r="27" spans="1:22" x14ac:dyDescent="0.3">
      <c r="B27" s="1" t="s">
        <v>33</v>
      </c>
      <c r="F27" s="1" t="s">
        <v>30</v>
      </c>
      <c r="G27" s="19">
        <f>K17</f>
        <v>960</v>
      </c>
      <c r="H27" s="19"/>
      <c r="I27" s="19"/>
      <c r="J27" s="19"/>
      <c r="O27" s="4"/>
      <c r="P27" s="4"/>
      <c r="Q27" s="5"/>
      <c r="R27" s="5"/>
      <c r="S27" s="5"/>
      <c r="T27" s="5"/>
      <c r="U27" s="5"/>
    </row>
    <row r="28" spans="1:22" x14ac:dyDescent="0.3">
      <c r="O28" s="4"/>
      <c r="P28" s="4"/>
      <c r="Q28" s="4"/>
      <c r="R28" s="4"/>
      <c r="S28" s="4"/>
      <c r="T28" s="4"/>
      <c r="U28" s="4"/>
    </row>
    <row r="29" spans="1:22" x14ac:dyDescent="0.3">
      <c r="A29" s="3" t="s">
        <v>34</v>
      </c>
      <c r="B29" s="1" t="s">
        <v>35</v>
      </c>
    </row>
    <row r="30" spans="1:22" x14ac:dyDescent="0.3">
      <c r="B30" s="1" t="s">
        <v>36</v>
      </c>
    </row>
    <row r="32" spans="1:22" x14ac:dyDescent="0.3">
      <c r="B32" s="1" t="s">
        <v>37</v>
      </c>
    </row>
    <row r="33" spans="2:14" x14ac:dyDescent="0.3">
      <c r="C33" s="1" t="s">
        <v>38</v>
      </c>
      <c r="D33" s="1" t="s">
        <v>15</v>
      </c>
      <c r="E33" s="1" t="s">
        <v>39</v>
      </c>
    </row>
    <row r="34" spans="2:14" x14ac:dyDescent="0.3">
      <c r="D34" s="1" t="s">
        <v>15</v>
      </c>
      <c r="E34" s="20">
        <f>L7/2+L10</f>
        <v>953</v>
      </c>
      <c r="F34" s="20"/>
      <c r="G34" s="20"/>
    </row>
    <row r="35" spans="2:14" x14ac:dyDescent="0.3">
      <c r="C35" s="1" t="s">
        <v>40</v>
      </c>
      <c r="D35" s="1" t="s">
        <v>15</v>
      </c>
      <c r="E35" s="1" t="s">
        <v>41</v>
      </c>
      <c r="K35" s="1" t="s">
        <v>42</v>
      </c>
      <c r="M35" s="1" t="s">
        <v>15</v>
      </c>
      <c r="N35" s="1" t="s">
        <v>41</v>
      </c>
    </row>
    <row r="36" spans="2:14" x14ac:dyDescent="0.3">
      <c r="D36" s="1" t="s">
        <v>15</v>
      </c>
      <c r="E36" s="1">
        <f>L8-L10</f>
        <v>29</v>
      </c>
      <c r="M36" s="1" t="s">
        <v>15</v>
      </c>
      <c r="N36" s="1">
        <f>L9-L10</f>
        <v>27.6</v>
      </c>
    </row>
    <row r="37" spans="2:14" x14ac:dyDescent="0.3">
      <c r="B37" s="1" t="s">
        <v>43</v>
      </c>
    </row>
    <row r="39" spans="2:14" x14ac:dyDescent="0.3">
      <c r="B39" s="2" t="s">
        <v>44</v>
      </c>
    </row>
    <row r="44" spans="2:14" ht="16.5" x14ac:dyDescent="0.3">
      <c r="C44" s="1" t="s">
        <v>45</v>
      </c>
      <c r="E44" s="1" t="s">
        <v>15</v>
      </c>
      <c r="F44" s="14">
        <f>G26/L11*(E34/E36+0.6)</f>
        <v>0.17065655172413793</v>
      </c>
      <c r="G44" s="14"/>
      <c r="H44" s="14"/>
      <c r="I44" s="14"/>
      <c r="J44" s="1" t="s">
        <v>46</v>
      </c>
    </row>
    <row r="45" spans="2:14" x14ac:dyDescent="0.3">
      <c r="F45" s="6"/>
      <c r="G45" s="6"/>
      <c r="H45" s="6"/>
      <c r="I45" s="6"/>
    </row>
    <row r="46" spans="2:14" x14ac:dyDescent="0.3">
      <c r="B46" s="2" t="s">
        <v>47</v>
      </c>
    </row>
    <row r="51" spans="2:10" ht="16.5" x14ac:dyDescent="0.3">
      <c r="C51" s="1" t="s">
        <v>48</v>
      </c>
      <c r="E51" s="1" t="s">
        <v>15</v>
      </c>
      <c r="F51" s="14">
        <f>G26/(2*L11)*(E34/E36-0.4)</f>
        <v>8.277827586206897E-2</v>
      </c>
      <c r="G51" s="14"/>
      <c r="H51" s="14"/>
      <c r="I51" s="14"/>
      <c r="J51" s="1" t="s">
        <v>46</v>
      </c>
    </row>
    <row r="52" spans="2:10" x14ac:dyDescent="0.3">
      <c r="B52" s="2" t="s">
        <v>49</v>
      </c>
      <c r="F52" s="6"/>
      <c r="G52" s="6"/>
      <c r="H52" s="6"/>
      <c r="I52" s="6"/>
    </row>
    <row r="53" spans="2:10" x14ac:dyDescent="0.3">
      <c r="F53" s="6"/>
      <c r="G53" s="6"/>
      <c r="H53" s="6"/>
      <c r="I53" s="6"/>
    </row>
    <row r="54" spans="2:10" x14ac:dyDescent="0.3">
      <c r="F54" s="6"/>
      <c r="G54" s="6"/>
      <c r="H54" s="6"/>
      <c r="I54" s="6"/>
    </row>
    <row r="55" spans="2:10" x14ac:dyDescent="0.3">
      <c r="F55" s="6"/>
      <c r="G55" s="6"/>
      <c r="H55" s="6"/>
      <c r="I55" s="6"/>
    </row>
    <row r="56" spans="2:10" x14ac:dyDescent="0.3">
      <c r="F56" s="6"/>
      <c r="G56" s="6"/>
      <c r="H56" s="6"/>
      <c r="I56" s="6"/>
    </row>
    <row r="57" spans="2:10" x14ac:dyDescent="0.3">
      <c r="F57" s="6"/>
      <c r="G57" s="6"/>
      <c r="H57" s="6"/>
      <c r="I57" s="6"/>
    </row>
    <row r="58" spans="2:10" x14ac:dyDescent="0.3">
      <c r="F58" s="6"/>
      <c r="G58" s="6"/>
      <c r="H58" s="6"/>
      <c r="I58" s="6"/>
    </row>
    <row r="59" spans="2:10" x14ac:dyDescent="0.3">
      <c r="F59" s="6"/>
      <c r="G59" s="6"/>
      <c r="H59" s="6"/>
      <c r="I59" s="6"/>
    </row>
    <row r="60" spans="2:10" x14ac:dyDescent="0.3">
      <c r="F60" s="6"/>
      <c r="G60" s="6"/>
      <c r="H60" s="6"/>
      <c r="I60" s="6"/>
    </row>
    <row r="61" spans="2:10" x14ac:dyDescent="0.3">
      <c r="F61" s="6"/>
      <c r="G61" s="6"/>
      <c r="H61" s="6"/>
      <c r="I61" s="6"/>
    </row>
    <row r="62" spans="2:10" x14ac:dyDescent="0.3">
      <c r="F62" s="6"/>
      <c r="G62" s="6"/>
      <c r="H62" s="6"/>
      <c r="I62" s="6"/>
    </row>
    <row r="63" spans="2:10" ht="16.5" x14ac:dyDescent="0.3">
      <c r="C63" s="1" t="s">
        <v>50</v>
      </c>
      <c r="E63" s="1" t="s">
        <v>15</v>
      </c>
      <c r="F63" s="14">
        <f>G26/(2*L11)*(((L7+2*L10)*1)/N36+0.2)</f>
        <v>0.17660782608695652</v>
      </c>
      <c r="G63" s="14"/>
      <c r="H63" s="14"/>
      <c r="I63" s="14"/>
      <c r="J63" s="1" t="s">
        <v>46</v>
      </c>
    </row>
    <row r="64" spans="2:10" ht="16.5" x14ac:dyDescent="0.3">
      <c r="C64" s="7" t="s">
        <v>51</v>
      </c>
      <c r="E64" s="1" t="s">
        <v>15</v>
      </c>
      <c r="F64" s="1" t="s">
        <v>52</v>
      </c>
    </row>
    <row r="65" spans="1:22" x14ac:dyDescent="0.3">
      <c r="E65" s="1" t="s">
        <v>15</v>
      </c>
      <c r="F65" s="14">
        <f>MAX(F44,F51,F63)</f>
        <v>0.17660782608695652</v>
      </c>
      <c r="G65" s="14"/>
      <c r="H65" s="14"/>
      <c r="I65" s="14"/>
      <c r="J65" s="1" t="s">
        <v>46</v>
      </c>
    </row>
    <row r="66" spans="1:22" x14ac:dyDescent="0.3">
      <c r="E66" s="1" t="s">
        <v>15</v>
      </c>
      <c r="F66" s="15">
        <f>F65*9.80665</f>
        <v>1.7319311376956521</v>
      </c>
      <c r="G66" s="15"/>
      <c r="H66" s="15"/>
      <c r="I66" s="15"/>
      <c r="J66" s="1" t="s">
        <v>53</v>
      </c>
    </row>
    <row r="68" spans="1:22" x14ac:dyDescent="0.3">
      <c r="A68" s="3" t="s">
        <v>54</v>
      </c>
      <c r="B68" s="1" t="s">
        <v>55</v>
      </c>
    </row>
    <row r="69" spans="1:22" x14ac:dyDescent="0.3">
      <c r="B69" s="1" t="s">
        <v>56</v>
      </c>
    </row>
    <row r="70" spans="1:22" x14ac:dyDescent="0.3">
      <c r="B70" s="1" t="s">
        <v>57</v>
      </c>
      <c r="K70" s="8"/>
      <c r="L70" s="8"/>
      <c r="M70" s="9" t="str">
        <f>L6</f>
        <v>SA-516 Gr 70 + S5</v>
      </c>
      <c r="N70" s="9"/>
      <c r="O70" s="9"/>
      <c r="P70" s="9"/>
      <c r="Q70" s="1" t="s">
        <v>58</v>
      </c>
      <c r="U70" s="16" t="s">
        <v>59</v>
      </c>
      <c r="V70" s="16"/>
    </row>
    <row r="71" spans="1:22" x14ac:dyDescent="0.3">
      <c r="B71" s="1" t="s">
        <v>60</v>
      </c>
    </row>
    <row r="73" spans="1:22" x14ac:dyDescent="0.3">
      <c r="A73" s="3" t="s">
        <v>61</v>
      </c>
      <c r="B73" s="1" t="s">
        <v>62</v>
      </c>
    </row>
    <row r="74" spans="1:22" x14ac:dyDescent="0.3">
      <c r="B74" s="1" t="s">
        <v>63</v>
      </c>
    </row>
    <row r="75" spans="1:22" x14ac:dyDescent="0.3">
      <c r="B75" s="1" t="s">
        <v>64</v>
      </c>
    </row>
    <row r="76" spans="1:22" x14ac:dyDescent="0.3">
      <c r="B76" s="1" t="s">
        <v>65</v>
      </c>
    </row>
    <row r="78" spans="1:22" ht="16.5" x14ac:dyDescent="0.3">
      <c r="B78" s="10" t="s">
        <v>66</v>
      </c>
      <c r="C78" s="10"/>
      <c r="D78" s="10"/>
      <c r="E78" s="16" t="str">
        <f>U70</f>
        <v>10.3M</v>
      </c>
      <c r="F78" s="16"/>
      <c r="G78" s="10" t="s">
        <v>67</v>
      </c>
      <c r="H78" s="10" t="s">
        <v>68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pans="1:22" x14ac:dyDescent="0.3">
      <c r="B79" s="10" t="s">
        <v>69</v>
      </c>
      <c r="C79" s="10"/>
      <c r="D79" s="10"/>
      <c r="E79" s="10"/>
      <c r="F79" s="10"/>
      <c r="G79" s="10"/>
      <c r="H79" s="10"/>
      <c r="I79" s="10"/>
    </row>
    <row r="103" spans="1:2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x14ac:dyDescent="0.3">
      <c r="A118" s="1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x14ac:dyDescent="0.3">
      <c r="A119" s="1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x14ac:dyDescent="0.3">
      <c r="A129" s="4"/>
      <c r="B129" s="4"/>
      <c r="C129" s="4"/>
      <c r="D129" s="4"/>
      <c r="E129" s="4"/>
      <c r="F129" s="5"/>
      <c r="G129" s="5"/>
      <c r="H129" s="5"/>
      <c r="I129" s="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x14ac:dyDescent="0.3">
      <c r="A130" s="4"/>
      <c r="B130" s="4"/>
      <c r="C130" s="4"/>
      <c r="D130" s="4"/>
      <c r="E130" s="4"/>
      <c r="F130" s="5"/>
      <c r="G130" s="5"/>
      <c r="H130" s="5"/>
      <c r="I130" s="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x14ac:dyDescent="0.3">
      <c r="A135" s="4"/>
      <c r="B135" s="4"/>
      <c r="C135" s="4"/>
      <c r="D135" s="4"/>
      <c r="E135" s="4"/>
      <c r="F135" s="5"/>
      <c r="G135" s="5"/>
      <c r="H135" s="5"/>
      <c r="I135" s="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x14ac:dyDescent="0.3">
      <c r="A136" s="4"/>
      <c r="B136" s="4"/>
      <c r="C136" s="4"/>
      <c r="D136" s="4"/>
      <c r="E136" s="4"/>
      <c r="F136" s="5"/>
      <c r="G136" s="5"/>
      <c r="H136" s="5"/>
      <c r="I136" s="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x14ac:dyDescent="0.3">
      <c r="A141" s="4"/>
      <c r="B141" s="4"/>
      <c r="C141" s="4"/>
      <c r="D141" s="4"/>
      <c r="E141" s="4"/>
      <c r="F141" s="5"/>
      <c r="G141" s="5"/>
      <c r="H141" s="5"/>
      <c r="I141" s="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x14ac:dyDescent="0.3">
      <c r="A142" s="4"/>
      <c r="B142" s="4"/>
      <c r="C142" s="4"/>
      <c r="D142" s="4"/>
      <c r="E142" s="4"/>
      <c r="F142" s="5"/>
      <c r="G142" s="5"/>
      <c r="H142" s="5"/>
      <c r="I142" s="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x14ac:dyDescent="0.3">
      <c r="A147" s="4"/>
      <c r="B147" s="4"/>
      <c r="C147" s="4"/>
      <c r="D147" s="4"/>
      <c r="E147" s="4"/>
      <c r="F147" s="5"/>
      <c r="G147" s="5"/>
      <c r="H147" s="5"/>
      <c r="I147" s="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x14ac:dyDescent="0.3">
      <c r="A148" s="4"/>
      <c r="B148" s="4"/>
      <c r="C148" s="4"/>
      <c r="D148" s="4"/>
      <c r="E148" s="4"/>
      <c r="F148" s="5"/>
      <c r="G148" s="5"/>
      <c r="H148" s="5"/>
      <c r="I148" s="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x14ac:dyDescent="0.3">
      <c r="A153" s="4"/>
      <c r="B153" s="4"/>
      <c r="C153" s="4"/>
      <c r="D153" s="4"/>
      <c r="E153" s="4"/>
      <c r="F153" s="5"/>
      <c r="G153" s="5"/>
      <c r="H153" s="5"/>
      <c r="I153" s="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x14ac:dyDescent="0.3">
      <c r="A154" s="4"/>
      <c r="B154" s="4"/>
      <c r="C154" s="4"/>
      <c r="D154" s="4"/>
      <c r="E154" s="4"/>
      <c r="F154" s="5"/>
      <c r="G154" s="5"/>
      <c r="H154" s="5"/>
      <c r="I154" s="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x14ac:dyDescent="0.3">
      <c r="A159" s="4"/>
      <c r="B159" s="4"/>
      <c r="C159" s="4"/>
      <c r="D159" s="4"/>
      <c r="E159" s="4"/>
      <c r="F159" s="5"/>
      <c r="G159" s="5"/>
      <c r="H159" s="5"/>
      <c r="I159" s="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x14ac:dyDescent="0.3">
      <c r="A160" s="4"/>
      <c r="B160" s="4"/>
      <c r="C160" s="4"/>
      <c r="D160" s="4"/>
      <c r="E160" s="4"/>
      <c r="F160" s="5"/>
      <c r="G160" s="5"/>
      <c r="H160" s="5"/>
      <c r="I160" s="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x14ac:dyDescent="0.3">
      <c r="A167" s="1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x14ac:dyDescent="0.3">
      <c r="A175" s="4"/>
      <c r="B175" s="4"/>
      <c r="C175" s="4"/>
      <c r="D175" s="4"/>
      <c r="E175" s="4"/>
      <c r="F175" s="4"/>
      <c r="G175" s="4"/>
      <c r="H175" s="5"/>
      <c r="I175" s="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x14ac:dyDescent="0.3">
      <c r="A177" s="1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2"/>
      <c r="R184" s="5"/>
      <c r="S184" s="5"/>
      <c r="T184" s="5"/>
      <c r="U184" s="4"/>
    </row>
    <row r="185" spans="1:2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x14ac:dyDescent="0.3">
      <c r="A187" s="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</row>
    <row r="188" spans="1:2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</sheetData>
  <mergeCells count="46">
    <mergeCell ref="L8:V8"/>
    <mergeCell ref="A1:W1"/>
    <mergeCell ref="L4:V4"/>
    <mergeCell ref="L5:V5"/>
    <mergeCell ref="L6:V6"/>
    <mergeCell ref="L7:V7"/>
    <mergeCell ref="L9:V9"/>
    <mergeCell ref="L10:V10"/>
    <mergeCell ref="L11:V11"/>
    <mergeCell ref="L12:V12"/>
    <mergeCell ref="B14:F14"/>
    <mergeCell ref="G14:J14"/>
    <mergeCell ref="K14:N14"/>
    <mergeCell ref="O14:R14"/>
    <mergeCell ref="S14:V14"/>
    <mergeCell ref="B16:F16"/>
    <mergeCell ref="G16:J16"/>
    <mergeCell ref="K16:N16"/>
    <mergeCell ref="O16:R16"/>
    <mergeCell ref="S16:V16"/>
    <mergeCell ref="B15:F15"/>
    <mergeCell ref="G15:J15"/>
    <mergeCell ref="K15:N15"/>
    <mergeCell ref="O15:R15"/>
    <mergeCell ref="S15:V15"/>
    <mergeCell ref="S17:V17"/>
    <mergeCell ref="B18:F18"/>
    <mergeCell ref="G18:J18"/>
    <mergeCell ref="K18:N18"/>
    <mergeCell ref="O18:R18"/>
    <mergeCell ref="S18:V18"/>
    <mergeCell ref="F51:I51"/>
    <mergeCell ref="B17:F17"/>
    <mergeCell ref="G17:J17"/>
    <mergeCell ref="K17:N17"/>
    <mergeCell ref="O17:R17"/>
    <mergeCell ref="G25:J25"/>
    <mergeCell ref="G26:J26"/>
    <mergeCell ref="G27:J27"/>
    <mergeCell ref="E34:G34"/>
    <mergeCell ref="F44:I44"/>
    <mergeCell ref="F63:I63"/>
    <mergeCell ref="F65:I65"/>
    <mergeCell ref="F66:I66"/>
    <mergeCell ref="U70:V70"/>
    <mergeCell ref="E78:F78"/>
  </mergeCells>
  <phoneticPr fontId="2" type="noConversion"/>
  <pageMargins left="0.7" right="0.7" top="0.75" bottom="0.75" header="0.3" footer="0.3"/>
  <pageSetup paperSize="9" scale="93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6"/>
  <sheetViews>
    <sheetView view="pageBreakPreview" zoomScaleNormal="100" zoomScaleSheetLayoutView="100" workbookViewId="0">
      <selection activeCell="S48" sqref="S48"/>
    </sheetView>
  </sheetViews>
  <sheetFormatPr defaultRowHeight="15" x14ac:dyDescent="0.3"/>
  <cols>
    <col min="1" max="237" width="3.625" style="1" customWidth="1"/>
    <col min="238" max="16384" width="9" style="1"/>
  </cols>
  <sheetData>
    <row r="1" spans="1:23" ht="22.5" customHeight="1" x14ac:dyDescent="0.3">
      <c r="A1" s="30" t="s">
        <v>70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3" spans="1:23" x14ac:dyDescent="0.3">
      <c r="A3" s="2" t="s">
        <v>71</v>
      </c>
    </row>
    <row r="4" spans="1:23" x14ac:dyDescent="0.3">
      <c r="A4" s="2"/>
      <c r="B4" s="1" t="s">
        <v>72</v>
      </c>
      <c r="K4" s="1" t="s">
        <v>15</v>
      </c>
      <c r="L4" s="28" t="s">
        <v>73</v>
      </c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3" x14ac:dyDescent="0.3">
      <c r="B5" s="1" t="s">
        <v>74</v>
      </c>
      <c r="K5" s="1" t="s">
        <v>15</v>
      </c>
      <c r="L5" s="28" t="s">
        <v>75</v>
      </c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3" x14ac:dyDescent="0.3">
      <c r="B6" s="1" t="s">
        <v>76</v>
      </c>
      <c r="K6" s="1" t="s">
        <v>15</v>
      </c>
      <c r="L6" s="28" t="s">
        <v>77</v>
      </c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1:23" x14ac:dyDescent="0.3">
      <c r="B7" s="1" t="s">
        <v>78</v>
      </c>
      <c r="K7" s="1" t="s">
        <v>3</v>
      </c>
      <c r="L7" s="28">
        <v>1900</v>
      </c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3" x14ac:dyDescent="0.3">
      <c r="B8" s="1" t="s">
        <v>79</v>
      </c>
      <c r="K8" s="1" t="s">
        <v>15</v>
      </c>
      <c r="L8" s="28">
        <v>32</v>
      </c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3" x14ac:dyDescent="0.3">
      <c r="B9" s="1" t="s">
        <v>80</v>
      </c>
      <c r="K9" s="1" t="s">
        <v>15</v>
      </c>
      <c r="L9" s="28">
        <v>30.6</v>
      </c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pans="1:23" x14ac:dyDescent="0.3">
      <c r="B10" s="1" t="s">
        <v>81</v>
      </c>
      <c r="K10" s="1" t="s">
        <v>15</v>
      </c>
      <c r="L10" s="28">
        <v>3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3" x14ac:dyDescent="0.3">
      <c r="B11" s="1" t="s">
        <v>14</v>
      </c>
      <c r="K11" s="1" t="s">
        <v>15</v>
      </c>
      <c r="L11" s="28">
        <v>1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3" x14ac:dyDescent="0.3">
      <c r="B12" s="1" t="s">
        <v>16</v>
      </c>
      <c r="K12" s="1" t="s">
        <v>15</v>
      </c>
      <c r="L12" s="28">
        <v>4100</v>
      </c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4" spans="1:23" x14ac:dyDescent="0.3">
      <c r="B14" s="29" t="s">
        <v>17</v>
      </c>
      <c r="C14" s="29"/>
      <c r="D14" s="29"/>
      <c r="E14" s="29"/>
      <c r="F14" s="29"/>
      <c r="G14" s="29">
        <v>1</v>
      </c>
      <c r="H14" s="29"/>
      <c r="I14" s="29"/>
      <c r="J14" s="29"/>
      <c r="K14" s="29">
        <v>2</v>
      </c>
      <c r="L14" s="29"/>
      <c r="M14" s="29"/>
      <c r="N14" s="29"/>
      <c r="O14" s="29"/>
      <c r="P14" s="29"/>
      <c r="Q14" s="29"/>
      <c r="R14" s="29"/>
      <c r="S14" s="29" t="s">
        <v>18</v>
      </c>
      <c r="T14" s="29"/>
      <c r="U14" s="29"/>
      <c r="V14" s="29"/>
    </row>
    <row r="15" spans="1:23" x14ac:dyDescent="0.3">
      <c r="B15" s="21" t="s">
        <v>19</v>
      </c>
      <c r="C15" s="22"/>
      <c r="D15" s="22"/>
      <c r="E15" s="22"/>
      <c r="F15" s="23"/>
      <c r="G15" s="26">
        <f>40.5/100</f>
        <v>0.40500000000000003</v>
      </c>
      <c r="H15" s="26"/>
      <c r="I15" s="26"/>
      <c r="J15" s="26"/>
      <c r="K15" s="26">
        <f>0.51/100</f>
        <v>5.1000000000000004E-3</v>
      </c>
      <c r="L15" s="26"/>
      <c r="M15" s="26"/>
      <c r="N15" s="26"/>
      <c r="O15" s="27"/>
      <c r="P15" s="27"/>
      <c r="Q15" s="27"/>
      <c r="R15" s="27"/>
      <c r="S15" s="25" t="s">
        <v>82</v>
      </c>
      <c r="T15" s="25"/>
      <c r="U15" s="25"/>
      <c r="V15" s="25"/>
    </row>
    <row r="16" spans="1:23" ht="16.5" x14ac:dyDescent="0.3">
      <c r="B16" s="21" t="s">
        <v>83</v>
      </c>
      <c r="C16" s="22"/>
      <c r="D16" s="22"/>
      <c r="E16" s="22"/>
      <c r="F16" s="23"/>
      <c r="G16" s="24">
        <v>250</v>
      </c>
      <c r="H16" s="24"/>
      <c r="I16" s="24"/>
      <c r="J16" s="24"/>
      <c r="K16" s="24">
        <v>538</v>
      </c>
      <c r="L16" s="24"/>
      <c r="M16" s="24"/>
      <c r="N16" s="24"/>
      <c r="O16" s="24"/>
      <c r="P16" s="24"/>
      <c r="Q16" s="24"/>
      <c r="R16" s="24"/>
      <c r="S16" s="25" t="s">
        <v>82</v>
      </c>
      <c r="T16" s="25"/>
      <c r="U16" s="25"/>
      <c r="V16" s="25"/>
    </row>
    <row r="17" spans="1:22" x14ac:dyDescent="0.3">
      <c r="B17" s="21" t="s">
        <v>84</v>
      </c>
      <c r="C17" s="22"/>
      <c r="D17" s="22"/>
      <c r="E17" s="22"/>
      <c r="F17" s="23"/>
      <c r="G17" s="24">
        <v>260208</v>
      </c>
      <c r="H17" s="24"/>
      <c r="I17" s="24"/>
      <c r="J17" s="24"/>
      <c r="K17" s="24">
        <v>2592</v>
      </c>
      <c r="L17" s="24"/>
      <c r="M17" s="24"/>
      <c r="N17" s="24"/>
      <c r="O17" s="24"/>
      <c r="P17" s="24"/>
      <c r="Q17" s="24"/>
      <c r="R17" s="24"/>
      <c r="S17" s="25">
        <f>SUM(G17:R17)</f>
        <v>262800</v>
      </c>
      <c r="T17" s="25"/>
      <c r="U17" s="25"/>
      <c r="V17" s="25"/>
    </row>
    <row r="18" spans="1:22" x14ac:dyDescent="0.3">
      <c r="B18" s="21" t="s">
        <v>85</v>
      </c>
      <c r="C18" s="22"/>
      <c r="D18" s="22"/>
      <c r="E18" s="22"/>
      <c r="F18" s="23"/>
      <c r="G18" s="25">
        <f>G17/24/365</f>
        <v>29.704109589041096</v>
      </c>
      <c r="H18" s="25"/>
      <c r="I18" s="25"/>
      <c r="J18" s="25"/>
      <c r="K18" s="25">
        <f>K17/24/365</f>
        <v>0.29589041095890412</v>
      </c>
      <c r="L18" s="25"/>
      <c r="M18" s="25"/>
      <c r="N18" s="25"/>
      <c r="O18" s="25"/>
      <c r="P18" s="25"/>
      <c r="Q18" s="25"/>
      <c r="R18" s="25"/>
      <c r="S18" s="25">
        <f>S17/24/365</f>
        <v>30</v>
      </c>
      <c r="T18" s="25"/>
      <c r="U18" s="25"/>
      <c r="V18" s="25"/>
    </row>
    <row r="20" spans="1:22" x14ac:dyDescent="0.3">
      <c r="A20" s="2" t="s">
        <v>86</v>
      </c>
    </row>
    <row r="21" spans="1:22" x14ac:dyDescent="0.3">
      <c r="A21" s="3" t="s">
        <v>25</v>
      </c>
      <c r="B21" s="1" t="s">
        <v>26</v>
      </c>
    </row>
    <row r="22" spans="1:22" x14ac:dyDescent="0.3">
      <c r="B22" s="1" t="s">
        <v>87</v>
      </c>
    </row>
    <row r="23" spans="1:22" ht="16.5" x14ac:dyDescent="0.3">
      <c r="B23" s="1" t="s">
        <v>88</v>
      </c>
    </row>
    <row r="25" spans="1:22" x14ac:dyDescent="0.3">
      <c r="B25" s="1" t="s">
        <v>89</v>
      </c>
      <c r="F25" s="1" t="s">
        <v>15</v>
      </c>
      <c r="G25" s="17">
        <f>K16+4</f>
        <v>542</v>
      </c>
      <c r="H25" s="17"/>
      <c r="I25" s="17"/>
      <c r="J25" s="17"/>
      <c r="O25" s="4"/>
      <c r="P25" s="4"/>
      <c r="Q25" s="5"/>
      <c r="R25" s="5"/>
      <c r="S25" s="5"/>
      <c r="T25" s="5"/>
      <c r="U25" s="5"/>
    </row>
    <row r="26" spans="1:22" x14ac:dyDescent="0.3">
      <c r="B26" s="1" t="s">
        <v>90</v>
      </c>
      <c r="F26" s="1" t="s">
        <v>15</v>
      </c>
      <c r="G26" s="18">
        <f>K15</f>
        <v>5.1000000000000004E-3</v>
      </c>
      <c r="H26" s="18"/>
      <c r="I26" s="18"/>
      <c r="J26" s="18"/>
      <c r="O26" s="4"/>
      <c r="P26" s="4"/>
      <c r="Q26" s="5"/>
      <c r="R26" s="5"/>
      <c r="S26" s="5"/>
      <c r="T26" s="5"/>
      <c r="U26" s="5"/>
    </row>
    <row r="27" spans="1:22" x14ac:dyDescent="0.3">
      <c r="B27" s="1" t="s">
        <v>91</v>
      </c>
      <c r="F27" s="1" t="s">
        <v>15</v>
      </c>
      <c r="G27" s="19">
        <f>K17</f>
        <v>2592</v>
      </c>
      <c r="H27" s="19"/>
      <c r="I27" s="19"/>
      <c r="J27" s="19"/>
      <c r="O27" s="4"/>
      <c r="P27" s="4"/>
      <c r="Q27" s="5"/>
      <c r="R27" s="5"/>
      <c r="S27" s="5"/>
      <c r="T27" s="5"/>
      <c r="U27" s="5"/>
    </row>
    <row r="28" spans="1:22" x14ac:dyDescent="0.3">
      <c r="O28" s="4"/>
      <c r="P28" s="4"/>
      <c r="Q28" s="4"/>
      <c r="R28" s="4"/>
      <c r="S28" s="4"/>
      <c r="T28" s="4"/>
      <c r="U28" s="4"/>
    </row>
    <row r="29" spans="1:22" x14ac:dyDescent="0.3">
      <c r="A29" s="3" t="s">
        <v>34</v>
      </c>
      <c r="B29" s="1" t="s">
        <v>35</v>
      </c>
    </row>
    <row r="30" spans="1:22" x14ac:dyDescent="0.3">
      <c r="B30" s="1" t="s">
        <v>36</v>
      </c>
    </row>
    <row r="32" spans="1:22" x14ac:dyDescent="0.3">
      <c r="B32" s="1" t="s">
        <v>37</v>
      </c>
    </row>
    <row r="33" spans="2:14" x14ac:dyDescent="0.3">
      <c r="C33" s="1" t="s">
        <v>38</v>
      </c>
      <c r="D33" s="1" t="s">
        <v>15</v>
      </c>
      <c r="E33" s="1" t="s">
        <v>39</v>
      </c>
    </row>
    <row r="34" spans="2:14" x14ac:dyDescent="0.3">
      <c r="D34" s="1" t="s">
        <v>15</v>
      </c>
      <c r="E34" s="20">
        <f>L7/2+L10</f>
        <v>953</v>
      </c>
      <c r="F34" s="20"/>
      <c r="G34" s="20"/>
    </row>
    <row r="35" spans="2:14" x14ac:dyDescent="0.3">
      <c r="C35" s="1" t="s">
        <v>40</v>
      </c>
      <c r="D35" s="1" t="s">
        <v>15</v>
      </c>
      <c r="E35" s="1" t="s">
        <v>41</v>
      </c>
      <c r="K35" s="1" t="s">
        <v>42</v>
      </c>
      <c r="M35" s="1" t="s">
        <v>15</v>
      </c>
      <c r="N35" s="1" t="s">
        <v>41</v>
      </c>
    </row>
    <row r="36" spans="2:14" x14ac:dyDescent="0.3">
      <c r="D36" s="1" t="s">
        <v>15</v>
      </c>
      <c r="E36" s="1">
        <f>L8-L10</f>
        <v>29</v>
      </c>
      <c r="M36" s="1" t="s">
        <v>15</v>
      </c>
      <c r="N36" s="1">
        <f>L9-L10</f>
        <v>27.6</v>
      </c>
    </row>
    <row r="37" spans="2:14" x14ac:dyDescent="0.3">
      <c r="B37" s="1" t="s">
        <v>43</v>
      </c>
    </row>
    <row r="39" spans="2:14" x14ac:dyDescent="0.3">
      <c r="B39" s="2" t="s">
        <v>44</v>
      </c>
    </row>
    <row r="44" spans="2:14" ht="16.5" x14ac:dyDescent="0.3">
      <c r="C44" s="1" t="s">
        <v>45</v>
      </c>
      <c r="E44" s="1" t="s">
        <v>15</v>
      </c>
      <c r="F44" s="14">
        <f>G26/L11*(E34/E36+0.6)</f>
        <v>0.17065655172413793</v>
      </c>
      <c r="G44" s="14"/>
      <c r="H44" s="14"/>
      <c r="I44" s="14"/>
      <c r="J44" s="1" t="s">
        <v>46</v>
      </c>
    </row>
    <row r="45" spans="2:14" x14ac:dyDescent="0.3">
      <c r="F45" s="6"/>
      <c r="G45" s="6"/>
      <c r="H45" s="6"/>
      <c r="I45" s="6"/>
    </row>
    <row r="46" spans="2:14" x14ac:dyDescent="0.3">
      <c r="B46" s="2" t="s">
        <v>47</v>
      </c>
    </row>
    <row r="51" spans="2:10" ht="16.5" x14ac:dyDescent="0.3">
      <c r="C51" s="1" t="s">
        <v>48</v>
      </c>
      <c r="E51" s="1" t="s">
        <v>15</v>
      </c>
      <c r="F51" s="14">
        <f>G26/(2*L11)*(E34/E36-0.4)</f>
        <v>8.277827586206897E-2</v>
      </c>
      <c r="G51" s="14"/>
      <c r="H51" s="14"/>
      <c r="I51" s="14"/>
      <c r="J51" s="1" t="s">
        <v>46</v>
      </c>
    </row>
    <row r="52" spans="2:10" x14ac:dyDescent="0.3">
      <c r="B52" s="2" t="s">
        <v>49</v>
      </c>
      <c r="F52" s="6"/>
      <c r="G52" s="6"/>
      <c r="H52" s="6"/>
      <c r="I52" s="6"/>
    </row>
    <row r="53" spans="2:10" x14ac:dyDescent="0.3">
      <c r="F53" s="6"/>
      <c r="G53" s="6"/>
      <c r="H53" s="6"/>
      <c r="I53" s="6"/>
    </row>
    <row r="54" spans="2:10" x14ac:dyDescent="0.3">
      <c r="F54" s="6"/>
      <c r="G54" s="6"/>
      <c r="H54" s="6"/>
      <c r="I54" s="6"/>
    </row>
    <row r="55" spans="2:10" x14ac:dyDescent="0.3">
      <c r="F55" s="6"/>
      <c r="G55" s="6"/>
      <c r="H55" s="6"/>
      <c r="I55" s="6"/>
    </row>
    <row r="56" spans="2:10" x14ac:dyDescent="0.3">
      <c r="F56" s="6"/>
      <c r="G56" s="6"/>
      <c r="H56" s="6"/>
      <c r="I56" s="6"/>
    </row>
    <row r="57" spans="2:10" x14ac:dyDescent="0.3">
      <c r="F57" s="6"/>
      <c r="G57" s="6"/>
      <c r="H57" s="6"/>
      <c r="I57" s="6"/>
    </row>
    <row r="58" spans="2:10" x14ac:dyDescent="0.3">
      <c r="F58" s="6"/>
      <c r="G58" s="6"/>
      <c r="H58" s="6"/>
      <c r="I58" s="6"/>
    </row>
    <row r="59" spans="2:10" x14ac:dyDescent="0.3">
      <c r="F59" s="6"/>
      <c r="G59" s="6"/>
      <c r="H59" s="6"/>
      <c r="I59" s="6"/>
    </row>
    <row r="60" spans="2:10" x14ac:dyDescent="0.3">
      <c r="F60" s="6"/>
      <c r="G60" s="6"/>
      <c r="H60" s="6"/>
      <c r="I60" s="6"/>
    </row>
    <row r="61" spans="2:10" x14ac:dyDescent="0.3">
      <c r="F61" s="6"/>
      <c r="G61" s="6"/>
      <c r="H61" s="6"/>
      <c r="I61" s="6"/>
    </row>
    <row r="62" spans="2:10" x14ac:dyDescent="0.3">
      <c r="F62" s="6"/>
      <c r="G62" s="6"/>
      <c r="H62" s="6"/>
      <c r="I62" s="6"/>
    </row>
    <row r="63" spans="2:10" ht="16.5" x14ac:dyDescent="0.3">
      <c r="C63" s="1" t="s">
        <v>50</v>
      </c>
      <c r="E63" s="1" t="s">
        <v>15</v>
      </c>
      <c r="F63" s="14">
        <f>G26/(2*L11)*(((L7+2*L10)*1)/N36+0.2)</f>
        <v>0.17660782608695652</v>
      </c>
      <c r="G63" s="14"/>
      <c r="H63" s="14"/>
      <c r="I63" s="14"/>
      <c r="J63" s="1" t="s">
        <v>46</v>
      </c>
    </row>
    <row r="64" spans="2:10" ht="16.5" x14ac:dyDescent="0.3">
      <c r="C64" s="7" t="s">
        <v>51</v>
      </c>
      <c r="E64" s="1" t="s">
        <v>15</v>
      </c>
      <c r="F64" s="1" t="s">
        <v>52</v>
      </c>
    </row>
    <row r="65" spans="1:22" x14ac:dyDescent="0.3">
      <c r="E65" s="1" t="s">
        <v>15</v>
      </c>
      <c r="F65" s="14">
        <f>MAX(F44,F51,F63)</f>
        <v>0.17660782608695652</v>
      </c>
      <c r="G65" s="14"/>
      <c r="H65" s="14"/>
      <c r="I65" s="14"/>
      <c r="J65" s="1" t="s">
        <v>46</v>
      </c>
    </row>
    <row r="66" spans="1:22" x14ac:dyDescent="0.3">
      <c r="E66" s="1" t="s">
        <v>15</v>
      </c>
      <c r="F66" s="15">
        <f>F65*9.80665</f>
        <v>1.7319311376956521</v>
      </c>
      <c r="G66" s="15"/>
      <c r="H66" s="15"/>
      <c r="I66" s="15"/>
      <c r="J66" s="1" t="s">
        <v>53</v>
      </c>
    </row>
    <row r="68" spans="1:22" x14ac:dyDescent="0.3">
      <c r="A68" s="3" t="s">
        <v>54</v>
      </c>
      <c r="B68" s="1" t="s">
        <v>55</v>
      </c>
    </row>
    <row r="69" spans="1:22" x14ac:dyDescent="0.3">
      <c r="B69" s="1" t="s">
        <v>56</v>
      </c>
    </row>
    <row r="70" spans="1:22" x14ac:dyDescent="0.3">
      <c r="B70" s="1" t="s">
        <v>57</v>
      </c>
      <c r="K70" s="8"/>
      <c r="L70" s="8"/>
      <c r="M70" s="9" t="str">
        <f>L6</f>
        <v>SA-516 Gr 70 + S5</v>
      </c>
      <c r="N70" s="9"/>
      <c r="O70" s="9"/>
      <c r="P70" s="9"/>
      <c r="Q70" s="1" t="s">
        <v>58</v>
      </c>
      <c r="U70" s="16" t="s">
        <v>59</v>
      </c>
      <c r="V70" s="16"/>
    </row>
    <row r="71" spans="1:22" x14ac:dyDescent="0.3">
      <c r="B71" s="1" t="s">
        <v>60</v>
      </c>
    </row>
    <row r="73" spans="1:22" x14ac:dyDescent="0.3">
      <c r="A73" s="3" t="s">
        <v>61</v>
      </c>
      <c r="B73" s="1" t="s">
        <v>62</v>
      </c>
    </row>
    <row r="74" spans="1:22" x14ac:dyDescent="0.3">
      <c r="B74" s="1" t="s">
        <v>63</v>
      </c>
    </row>
    <row r="75" spans="1:22" x14ac:dyDescent="0.3">
      <c r="B75" s="1" t="s">
        <v>64</v>
      </c>
    </row>
    <row r="76" spans="1:22" x14ac:dyDescent="0.3">
      <c r="B76" s="1" t="s">
        <v>65</v>
      </c>
    </row>
    <row r="78" spans="1:22" ht="16.5" x14ac:dyDescent="0.3">
      <c r="B78" s="10" t="s">
        <v>66</v>
      </c>
      <c r="C78" s="10"/>
      <c r="D78" s="10"/>
      <c r="E78" s="16" t="str">
        <f>U70</f>
        <v>10.3M</v>
      </c>
      <c r="F78" s="16"/>
      <c r="G78" s="10" t="s">
        <v>67</v>
      </c>
      <c r="H78" s="10" t="s">
        <v>92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pans="1:22" x14ac:dyDescent="0.3">
      <c r="B79" s="10" t="s">
        <v>69</v>
      </c>
      <c r="C79" s="10"/>
      <c r="D79" s="10"/>
      <c r="E79" s="10"/>
      <c r="F79" s="10"/>
      <c r="G79" s="10"/>
      <c r="H79" s="10"/>
      <c r="I79" s="10"/>
    </row>
    <row r="103" spans="1:2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x14ac:dyDescent="0.3">
      <c r="A118" s="1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x14ac:dyDescent="0.3">
      <c r="A119" s="1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x14ac:dyDescent="0.3">
      <c r="A129" s="4"/>
      <c r="B129" s="4"/>
      <c r="C129" s="4"/>
      <c r="D129" s="4"/>
      <c r="E129" s="4"/>
      <c r="F129" s="5"/>
      <c r="G129" s="5"/>
      <c r="H129" s="5"/>
      <c r="I129" s="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x14ac:dyDescent="0.3">
      <c r="A130" s="4"/>
      <c r="B130" s="4"/>
      <c r="C130" s="4"/>
      <c r="D130" s="4"/>
      <c r="E130" s="4"/>
      <c r="F130" s="5"/>
      <c r="G130" s="5"/>
      <c r="H130" s="5"/>
      <c r="I130" s="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x14ac:dyDescent="0.3">
      <c r="A135" s="4"/>
      <c r="B135" s="4"/>
      <c r="C135" s="4"/>
      <c r="D135" s="4"/>
      <c r="E135" s="4"/>
      <c r="F135" s="5"/>
      <c r="G135" s="5"/>
      <c r="H135" s="5"/>
      <c r="I135" s="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x14ac:dyDescent="0.3">
      <c r="A136" s="4"/>
      <c r="B136" s="4"/>
      <c r="C136" s="4"/>
      <c r="D136" s="4"/>
      <c r="E136" s="4"/>
      <c r="F136" s="5"/>
      <c r="G136" s="5"/>
      <c r="H136" s="5"/>
      <c r="I136" s="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x14ac:dyDescent="0.3">
      <c r="A141" s="4"/>
      <c r="B141" s="4"/>
      <c r="C141" s="4"/>
      <c r="D141" s="4"/>
      <c r="E141" s="4"/>
      <c r="F141" s="5"/>
      <c r="G141" s="5"/>
      <c r="H141" s="5"/>
      <c r="I141" s="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x14ac:dyDescent="0.3">
      <c r="A142" s="4"/>
      <c r="B142" s="4"/>
      <c r="C142" s="4"/>
      <c r="D142" s="4"/>
      <c r="E142" s="4"/>
      <c r="F142" s="5"/>
      <c r="G142" s="5"/>
      <c r="H142" s="5"/>
      <c r="I142" s="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x14ac:dyDescent="0.3">
      <c r="A147" s="4"/>
      <c r="B147" s="4"/>
      <c r="C147" s="4"/>
      <c r="D147" s="4"/>
      <c r="E147" s="4"/>
      <c r="F147" s="5"/>
      <c r="G147" s="5"/>
      <c r="H147" s="5"/>
      <c r="I147" s="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x14ac:dyDescent="0.3">
      <c r="A148" s="4"/>
      <c r="B148" s="4"/>
      <c r="C148" s="4"/>
      <c r="D148" s="4"/>
      <c r="E148" s="4"/>
      <c r="F148" s="5"/>
      <c r="G148" s="5"/>
      <c r="H148" s="5"/>
      <c r="I148" s="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x14ac:dyDescent="0.3">
      <c r="A153" s="4"/>
      <c r="B153" s="4"/>
      <c r="C153" s="4"/>
      <c r="D153" s="4"/>
      <c r="E153" s="4"/>
      <c r="F153" s="5"/>
      <c r="G153" s="5"/>
      <c r="H153" s="5"/>
      <c r="I153" s="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x14ac:dyDescent="0.3">
      <c r="A154" s="4"/>
      <c r="B154" s="4"/>
      <c r="C154" s="4"/>
      <c r="D154" s="4"/>
      <c r="E154" s="4"/>
      <c r="F154" s="5"/>
      <c r="G154" s="5"/>
      <c r="H154" s="5"/>
      <c r="I154" s="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x14ac:dyDescent="0.3">
      <c r="A159" s="4"/>
      <c r="B159" s="4"/>
      <c r="C159" s="4"/>
      <c r="D159" s="4"/>
      <c r="E159" s="4"/>
      <c r="F159" s="5"/>
      <c r="G159" s="5"/>
      <c r="H159" s="5"/>
      <c r="I159" s="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x14ac:dyDescent="0.3">
      <c r="A160" s="4"/>
      <c r="B160" s="4"/>
      <c r="C160" s="4"/>
      <c r="D160" s="4"/>
      <c r="E160" s="4"/>
      <c r="F160" s="5"/>
      <c r="G160" s="5"/>
      <c r="H160" s="5"/>
      <c r="I160" s="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x14ac:dyDescent="0.3">
      <c r="A167" s="1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x14ac:dyDescent="0.3">
      <c r="A175" s="4"/>
      <c r="B175" s="4"/>
      <c r="C175" s="4"/>
      <c r="D175" s="4"/>
      <c r="E175" s="4"/>
      <c r="F175" s="4"/>
      <c r="G175" s="4"/>
      <c r="H175" s="5"/>
      <c r="I175" s="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x14ac:dyDescent="0.3">
      <c r="A177" s="1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2"/>
      <c r="R184" s="5"/>
      <c r="S184" s="5"/>
      <c r="T184" s="5"/>
      <c r="U184" s="4"/>
    </row>
    <row r="185" spans="1:2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x14ac:dyDescent="0.3">
      <c r="A187" s="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</row>
    <row r="188" spans="1:2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</sheetData>
  <mergeCells count="46">
    <mergeCell ref="L8:V8"/>
    <mergeCell ref="A1:W1"/>
    <mergeCell ref="L4:V4"/>
    <mergeCell ref="L5:V5"/>
    <mergeCell ref="L6:V6"/>
    <mergeCell ref="L7:V7"/>
    <mergeCell ref="L9:V9"/>
    <mergeCell ref="L10:V10"/>
    <mergeCell ref="L11:V11"/>
    <mergeCell ref="L12:V12"/>
    <mergeCell ref="B14:F14"/>
    <mergeCell ref="G14:J14"/>
    <mergeCell ref="K14:N14"/>
    <mergeCell ref="O14:R14"/>
    <mergeCell ref="S14:V14"/>
    <mergeCell ref="B16:F16"/>
    <mergeCell ref="G16:J16"/>
    <mergeCell ref="K16:N16"/>
    <mergeCell ref="O16:R16"/>
    <mergeCell ref="S16:V16"/>
    <mergeCell ref="B15:F15"/>
    <mergeCell ref="G15:J15"/>
    <mergeCell ref="K15:N15"/>
    <mergeCell ref="O15:R15"/>
    <mergeCell ref="S15:V15"/>
    <mergeCell ref="S17:V17"/>
    <mergeCell ref="B18:F18"/>
    <mergeCell ref="G18:J18"/>
    <mergeCell ref="K18:N18"/>
    <mergeCell ref="O18:R18"/>
    <mergeCell ref="S18:V18"/>
    <mergeCell ref="F51:I51"/>
    <mergeCell ref="B17:F17"/>
    <mergeCell ref="G17:J17"/>
    <mergeCell ref="K17:N17"/>
    <mergeCell ref="O17:R17"/>
    <mergeCell ref="G25:J25"/>
    <mergeCell ref="G26:J26"/>
    <mergeCell ref="G27:J27"/>
    <mergeCell ref="E34:G34"/>
    <mergeCell ref="F44:I44"/>
    <mergeCell ref="F63:I63"/>
    <mergeCell ref="F65:I65"/>
    <mergeCell ref="F66:I66"/>
    <mergeCell ref="U70:V70"/>
    <mergeCell ref="E78:F78"/>
  </mergeCells>
  <phoneticPr fontId="2" type="noConversion"/>
  <pageMargins left="0.7" right="0.7" top="0.75" bottom="0.75" header="0.3" footer="0.3"/>
  <pageSetup paperSize="9" scale="93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6"/>
  <sheetViews>
    <sheetView view="pageBreakPreview" topLeftCell="A41" zoomScaleNormal="100" zoomScaleSheetLayoutView="100" workbookViewId="0">
      <selection activeCell="S48" sqref="S48"/>
    </sheetView>
  </sheetViews>
  <sheetFormatPr defaultRowHeight="15" x14ac:dyDescent="0.3"/>
  <cols>
    <col min="1" max="237" width="3.625" style="1" customWidth="1"/>
    <col min="238" max="16384" width="9" style="1"/>
  </cols>
  <sheetData>
    <row r="1" spans="1:23" ht="22.5" customHeight="1" x14ac:dyDescent="0.3">
      <c r="A1" s="30" t="s">
        <v>70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3" spans="1:23" x14ac:dyDescent="0.3">
      <c r="A3" s="2" t="s">
        <v>71</v>
      </c>
    </row>
    <row r="4" spans="1:23" x14ac:dyDescent="0.3">
      <c r="A4" s="2"/>
      <c r="B4" s="1" t="s">
        <v>2</v>
      </c>
      <c r="K4" s="1" t="s">
        <v>15</v>
      </c>
      <c r="L4" s="28" t="s">
        <v>93</v>
      </c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3" x14ac:dyDescent="0.3">
      <c r="B5" s="1" t="s">
        <v>74</v>
      </c>
      <c r="K5" s="1" t="s">
        <v>94</v>
      </c>
      <c r="L5" s="28" t="s">
        <v>95</v>
      </c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3" x14ac:dyDescent="0.3">
      <c r="B6" s="1" t="s">
        <v>76</v>
      </c>
      <c r="K6" s="1" t="s">
        <v>96</v>
      </c>
      <c r="L6" s="28" t="s">
        <v>97</v>
      </c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1:23" x14ac:dyDescent="0.3">
      <c r="B7" s="1" t="s">
        <v>98</v>
      </c>
      <c r="K7" s="1" t="s">
        <v>15</v>
      </c>
      <c r="L7" s="28">
        <v>3100</v>
      </c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3" x14ac:dyDescent="0.3">
      <c r="B8" s="1" t="s">
        <v>79</v>
      </c>
      <c r="K8" s="1" t="s">
        <v>15</v>
      </c>
      <c r="L8" s="28">
        <v>18</v>
      </c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3" x14ac:dyDescent="0.3">
      <c r="B9" s="1" t="s">
        <v>99</v>
      </c>
      <c r="K9" s="1" t="s">
        <v>15</v>
      </c>
      <c r="L9" s="28">
        <v>17.8</v>
      </c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pans="1:23" x14ac:dyDescent="0.3">
      <c r="B10" s="1" t="s">
        <v>81</v>
      </c>
      <c r="K10" s="1" t="s">
        <v>94</v>
      </c>
      <c r="L10" s="28">
        <v>3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3" x14ac:dyDescent="0.3">
      <c r="B11" s="1" t="s">
        <v>14</v>
      </c>
      <c r="K11" s="1" t="s">
        <v>15</v>
      </c>
      <c r="L11" s="28">
        <v>1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3" x14ac:dyDescent="0.3">
      <c r="B12" s="1" t="s">
        <v>16</v>
      </c>
      <c r="K12" s="1" t="s">
        <v>15</v>
      </c>
      <c r="L12" s="28">
        <v>4600</v>
      </c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4" spans="1:23" x14ac:dyDescent="0.3">
      <c r="B14" s="29" t="s">
        <v>17</v>
      </c>
      <c r="C14" s="29"/>
      <c r="D14" s="29"/>
      <c r="E14" s="29"/>
      <c r="F14" s="29"/>
      <c r="G14" s="29">
        <v>1</v>
      </c>
      <c r="H14" s="29"/>
      <c r="I14" s="29"/>
      <c r="J14" s="29"/>
      <c r="K14" s="29">
        <v>2</v>
      </c>
      <c r="L14" s="29"/>
      <c r="M14" s="29"/>
      <c r="N14" s="29"/>
      <c r="O14" s="29"/>
      <c r="P14" s="29"/>
      <c r="Q14" s="29"/>
      <c r="R14" s="29"/>
      <c r="S14" s="29" t="s">
        <v>18</v>
      </c>
      <c r="T14" s="29"/>
      <c r="U14" s="29"/>
      <c r="V14" s="29"/>
    </row>
    <row r="15" spans="1:23" x14ac:dyDescent="0.3">
      <c r="B15" s="21" t="s">
        <v>19</v>
      </c>
      <c r="C15" s="22"/>
      <c r="D15" s="22"/>
      <c r="E15" s="22"/>
      <c r="F15" s="23"/>
      <c r="G15" s="26">
        <f>13.8/100</f>
        <v>0.13800000000000001</v>
      </c>
      <c r="H15" s="26"/>
      <c r="I15" s="26"/>
      <c r="J15" s="26"/>
      <c r="K15" s="26">
        <f>0.82/100</f>
        <v>8.199999999999999E-3</v>
      </c>
      <c r="L15" s="26"/>
      <c r="M15" s="26"/>
      <c r="N15" s="26"/>
      <c r="O15" s="27"/>
      <c r="P15" s="27"/>
      <c r="Q15" s="27"/>
      <c r="R15" s="27"/>
      <c r="S15" s="25" t="s">
        <v>82</v>
      </c>
      <c r="T15" s="25"/>
      <c r="U15" s="25"/>
      <c r="V15" s="25"/>
    </row>
    <row r="16" spans="1:23" ht="16.5" x14ac:dyDescent="0.3">
      <c r="B16" s="21" t="s">
        <v>100</v>
      </c>
      <c r="C16" s="22"/>
      <c r="D16" s="22"/>
      <c r="E16" s="22"/>
      <c r="F16" s="23"/>
      <c r="G16" s="24">
        <v>276</v>
      </c>
      <c r="H16" s="24"/>
      <c r="I16" s="24"/>
      <c r="J16" s="24"/>
      <c r="K16" s="24">
        <v>540</v>
      </c>
      <c r="L16" s="24"/>
      <c r="M16" s="24"/>
      <c r="N16" s="24"/>
      <c r="O16" s="24"/>
      <c r="P16" s="24"/>
      <c r="Q16" s="24"/>
      <c r="R16" s="24"/>
      <c r="S16" s="25" t="s">
        <v>101</v>
      </c>
      <c r="T16" s="25"/>
      <c r="U16" s="25"/>
      <c r="V16" s="25"/>
    </row>
    <row r="17" spans="1:22" x14ac:dyDescent="0.3">
      <c r="B17" s="21" t="s">
        <v>84</v>
      </c>
      <c r="C17" s="22"/>
      <c r="D17" s="22"/>
      <c r="E17" s="22"/>
      <c r="F17" s="23"/>
      <c r="G17" s="24">
        <v>262215</v>
      </c>
      <c r="H17" s="24"/>
      <c r="I17" s="24"/>
      <c r="J17" s="24"/>
      <c r="K17" s="24">
        <v>585</v>
      </c>
      <c r="L17" s="24"/>
      <c r="M17" s="24"/>
      <c r="N17" s="24"/>
      <c r="O17" s="24"/>
      <c r="P17" s="24"/>
      <c r="Q17" s="24"/>
      <c r="R17" s="24"/>
      <c r="S17" s="25">
        <f>SUM(G17:R17)</f>
        <v>262800</v>
      </c>
      <c r="T17" s="25"/>
      <c r="U17" s="25"/>
      <c r="V17" s="25"/>
    </row>
    <row r="18" spans="1:22" x14ac:dyDescent="0.3">
      <c r="B18" s="21" t="s">
        <v>85</v>
      </c>
      <c r="C18" s="22"/>
      <c r="D18" s="22"/>
      <c r="E18" s="22"/>
      <c r="F18" s="23"/>
      <c r="G18" s="25">
        <f>G17/24/365</f>
        <v>29.93321917808219</v>
      </c>
      <c r="H18" s="25"/>
      <c r="I18" s="25"/>
      <c r="J18" s="25"/>
      <c r="K18" s="25">
        <f>K17/24/365</f>
        <v>6.6780821917808222E-2</v>
      </c>
      <c r="L18" s="25"/>
      <c r="M18" s="25"/>
      <c r="N18" s="25"/>
      <c r="O18" s="25"/>
      <c r="P18" s="25"/>
      <c r="Q18" s="25"/>
      <c r="R18" s="25"/>
      <c r="S18" s="25">
        <f>S17/24/365</f>
        <v>30</v>
      </c>
      <c r="T18" s="25"/>
      <c r="U18" s="25"/>
      <c r="V18" s="25"/>
    </row>
    <row r="20" spans="1:22" x14ac:dyDescent="0.3">
      <c r="A20" s="2" t="s">
        <v>86</v>
      </c>
    </row>
    <row r="21" spans="1:22" x14ac:dyDescent="0.3">
      <c r="A21" s="3" t="s">
        <v>102</v>
      </c>
      <c r="B21" s="1" t="s">
        <v>103</v>
      </c>
    </row>
    <row r="22" spans="1:22" x14ac:dyDescent="0.3">
      <c r="B22" s="1" t="s">
        <v>87</v>
      </c>
    </row>
    <row r="23" spans="1:22" ht="16.5" x14ac:dyDescent="0.3">
      <c r="B23" s="1" t="s">
        <v>104</v>
      </c>
    </row>
    <row r="25" spans="1:22" x14ac:dyDescent="0.3">
      <c r="B25" s="1" t="s">
        <v>89</v>
      </c>
      <c r="F25" s="1" t="s">
        <v>105</v>
      </c>
      <c r="G25" s="17">
        <f>K16+4</f>
        <v>544</v>
      </c>
      <c r="H25" s="17"/>
      <c r="I25" s="17"/>
      <c r="J25" s="17"/>
      <c r="O25" s="4"/>
      <c r="P25" s="4"/>
      <c r="Q25" s="5"/>
      <c r="R25" s="5"/>
      <c r="S25" s="5"/>
      <c r="T25" s="5"/>
      <c r="U25" s="5"/>
    </row>
    <row r="26" spans="1:22" x14ac:dyDescent="0.3">
      <c r="B26" s="1" t="s">
        <v>90</v>
      </c>
      <c r="F26" s="1" t="s">
        <v>15</v>
      </c>
      <c r="G26" s="18">
        <f>K15</f>
        <v>8.199999999999999E-3</v>
      </c>
      <c r="H26" s="18"/>
      <c r="I26" s="18"/>
      <c r="J26" s="18"/>
      <c r="O26" s="4"/>
      <c r="P26" s="4"/>
      <c r="Q26" s="5"/>
      <c r="R26" s="5"/>
      <c r="S26" s="5"/>
      <c r="T26" s="5"/>
      <c r="U26" s="5"/>
    </row>
    <row r="27" spans="1:22" x14ac:dyDescent="0.3">
      <c r="B27" s="1" t="s">
        <v>106</v>
      </c>
      <c r="F27" s="1" t="s">
        <v>94</v>
      </c>
      <c r="G27" s="19">
        <f>K17</f>
        <v>585</v>
      </c>
      <c r="H27" s="19"/>
      <c r="I27" s="19"/>
      <c r="J27" s="19"/>
      <c r="O27" s="4"/>
      <c r="P27" s="4"/>
      <c r="Q27" s="5"/>
      <c r="R27" s="5"/>
      <c r="S27" s="5"/>
      <c r="T27" s="5"/>
      <c r="U27" s="5"/>
    </row>
    <row r="28" spans="1:22" x14ac:dyDescent="0.3">
      <c r="O28" s="4"/>
      <c r="P28" s="4"/>
      <c r="Q28" s="4"/>
      <c r="R28" s="4"/>
      <c r="S28" s="4"/>
      <c r="T28" s="4"/>
      <c r="U28" s="4"/>
    </row>
    <row r="29" spans="1:22" x14ac:dyDescent="0.3">
      <c r="A29" s="3" t="s">
        <v>107</v>
      </c>
      <c r="B29" s="1" t="s">
        <v>108</v>
      </c>
    </row>
    <row r="30" spans="1:22" x14ac:dyDescent="0.3">
      <c r="B30" s="1" t="s">
        <v>109</v>
      </c>
    </row>
    <row r="32" spans="1:22" x14ac:dyDescent="0.3">
      <c r="B32" s="1" t="s">
        <v>37</v>
      </c>
    </row>
    <row r="33" spans="2:14" x14ac:dyDescent="0.3">
      <c r="C33" s="1" t="s">
        <v>110</v>
      </c>
      <c r="D33" s="1" t="s">
        <v>15</v>
      </c>
      <c r="E33" s="1" t="s">
        <v>111</v>
      </c>
    </row>
    <row r="34" spans="2:14" x14ac:dyDescent="0.3">
      <c r="D34" s="1" t="s">
        <v>105</v>
      </c>
      <c r="E34" s="20">
        <f>L7/2+L10</f>
        <v>1553</v>
      </c>
      <c r="F34" s="20"/>
      <c r="G34" s="20"/>
    </row>
    <row r="35" spans="2:14" x14ac:dyDescent="0.3">
      <c r="C35" s="1" t="s">
        <v>40</v>
      </c>
      <c r="D35" s="1" t="s">
        <v>15</v>
      </c>
      <c r="E35" s="1" t="s">
        <v>41</v>
      </c>
      <c r="K35" s="1" t="s">
        <v>112</v>
      </c>
      <c r="M35" s="1" t="s">
        <v>94</v>
      </c>
      <c r="N35" s="1" t="s">
        <v>41</v>
      </c>
    </row>
    <row r="36" spans="2:14" x14ac:dyDescent="0.3">
      <c r="D36" s="1" t="s">
        <v>15</v>
      </c>
      <c r="E36" s="1">
        <f>L8-L10</f>
        <v>15</v>
      </c>
      <c r="M36" s="1" t="s">
        <v>15</v>
      </c>
      <c r="N36" s="1">
        <f>L9-L10</f>
        <v>14.8</v>
      </c>
    </row>
    <row r="37" spans="2:14" x14ac:dyDescent="0.3">
      <c r="B37" s="1" t="s">
        <v>43</v>
      </c>
    </row>
    <row r="39" spans="2:14" x14ac:dyDescent="0.3">
      <c r="B39" s="2" t="s">
        <v>44</v>
      </c>
    </row>
    <row r="44" spans="2:14" ht="16.5" x14ac:dyDescent="0.3">
      <c r="C44" s="1" t="s">
        <v>45</v>
      </c>
      <c r="E44" s="1" t="s">
        <v>94</v>
      </c>
      <c r="F44" s="14">
        <f>G26/L11*(E34/E36+0.6)</f>
        <v>0.85389333333333317</v>
      </c>
      <c r="G44" s="14"/>
      <c r="H44" s="14"/>
      <c r="I44" s="14"/>
      <c r="J44" s="1" t="s">
        <v>113</v>
      </c>
    </row>
    <row r="45" spans="2:14" x14ac:dyDescent="0.3">
      <c r="F45" s="6"/>
      <c r="G45" s="6"/>
      <c r="H45" s="6"/>
      <c r="I45" s="6"/>
    </row>
    <row r="46" spans="2:14" x14ac:dyDescent="0.3">
      <c r="B46" s="2" t="s">
        <v>47</v>
      </c>
    </row>
    <row r="51" spans="2:10" ht="16.5" x14ac:dyDescent="0.3">
      <c r="C51" s="1" t="s">
        <v>48</v>
      </c>
      <c r="E51" s="1" t="s">
        <v>15</v>
      </c>
      <c r="F51" s="14">
        <f>G26/(2*L11)*(E34/E36-0.4)</f>
        <v>0.42284666666666659</v>
      </c>
      <c r="G51" s="14"/>
      <c r="H51" s="14"/>
      <c r="I51" s="14"/>
      <c r="J51" s="1" t="s">
        <v>113</v>
      </c>
    </row>
    <row r="52" spans="2:10" x14ac:dyDescent="0.3">
      <c r="B52" s="2" t="s">
        <v>49</v>
      </c>
      <c r="F52" s="6"/>
      <c r="G52" s="6"/>
      <c r="H52" s="6"/>
      <c r="I52" s="6"/>
    </row>
    <row r="53" spans="2:10" x14ac:dyDescent="0.3">
      <c r="F53" s="6"/>
      <c r="G53" s="6"/>
      <c r="H53" s="6"/>
      <c r="I53" s="6"/>
    </row>
    <row r="54" spans="2:10" x14ac:dyDescent="0.3">
      <c r="F54" s="6"/>
      <c r="G54" s="6"/>
      <c r="H54" s="6"/>
      <c r="I54" s="6"/>
    </row>
    <row r="55" spans="2:10" x14ac:dyDescent="0.3">
      <c r="F55" s="6"/>
      <c r="G55" s="6"/>
      <c r="H55" s="6"/>
      <c r="I55" s="6"/>
    </row>
    <row r="56" spans="2:10" x14ac:dyDescent="0.3">
      <c r="F56" s="6"/>
      <c r="G56" s="6"/>
      <c r="H56" s="6"/>
      <c r="I56" s="6"/>
    </row>
    <row r="57" spans="2:10" x14ac:dyDescent="0.3">
      <c r="F57" s="6"/>
      <c r="G57" s="6"/>
      <c r="H57" s="6"/>
      <c r="I57" s="6"/>
    </row>
    <row r="58" spans="2:10" x14ac:dyDescent="0.3">
      <c r="F58" s="6"/>
      <c r="G58" s="6"/>
      <c r="H58" s="6"/>
      <c r="I58" s="6"/>
    </row>
    <row r="59" spans="2:10" x14ac:dyDescent="0.3">
      <c r="F59" s="6"/>
      <c r="G59" s="6"/>
      <c r="H59" s="6"/>
      <c r="I59" s="6"/>
    </row>
    <row r="60" spans="2:10" x14ac:dyDescent="0.3">
      <c r="F60" s="6"/>
      <c r="G60" s="6"/>
      <c r="H60" s="6"/>
      <c r="I60" s="6"/>
    </row>
    <row r="61" spans="2:10" x14ac:dyDescent="0.3">
      <c r="F61" s="6"/>
      <c r="G61" s="6"/>
      <c r="H61" s="6"/>
      <c r="I61" s="6"/>
    </row>
    <row r="62" spans="2:10" x14ac:dyDescent="0.3">
      <c r="F62" s="6"/>
      <c r="G62" s="6"/>
      <c r="H62" s="6"/>
      <c r="I62" s="6"/>
    </row>
    <row r="63" spans="2:10" ht="16.5" x14ac:dyDescent="0.3">
      <c r="C63" s="1" t="s">
        <v>50</v>
      </c>
      <c r="E63" s="1" t="s">
        <v>15</v>
      </c>
      <c r="F63" s="14">
        <f>G26/(2*L11)*(((L7+2*L10)*1)/N36+0.2)</f>
        <v>0.86126594594594574</v>
      </c>
      <c r="G63" s="14"/>
      <c r="H63" s="14"/>
      <c r="I63" s="14"/>
      <c r="J63" s="1" t="s">
        <v>46</v>
      </c>
    </row>
    <row r="64" spans="2:10" ht="16.5" x14ac:dyDescent="0.3">
      <c r="C64" s="7" t="s">
        <v>51</v>
      </c>
      <c r="E64" s="1" t="s">
        <v>94</v>
      </c>
      <c r="F64" s="1" t="s">
        <v>114</v>
      </c>
    </row>
    <row r="65" spans="1:22" x14ac:dyDescent="0.3">
      <c r="E65" s="1" t="s">
        <v>15</v>
      </c>
      <c r="F65" s="14">
        <f>MAX(F44,F51,F63)</f>
        <v>0.86126594594594574</v>
      </c>
      <c r="G65" s="14"/>
      <c r="H65" s="14"/>
      <c r="I65" s="14"/>
      <c r="J65" s="1" t="s">
        <v>115</v>
      </c>
    </row>
    <row r="66" spans="1:22" x14ac:dyDescent="0.3">
      <c r="E66" s="1" t="s">
        <v>105</v>
      </c>
      <c r="F66" s="15">
        <f>F65*9.80665</f>
        <v>8.4461336888108089</v>
      </c>
      <c r="G66" s="15"/>
      <c r="H66" s="15"/>
      <c r="I66" s="15"/>
      <c r="J66" s="1" t="s">
        <v>116</v>
      </c>
    </row>
    <row r="68" spans="1:22" x14ac:dyDescent="0.3">
      <c r="A68" s="3" t="s">
        <v>54</v>
      </c>
      <c r="B68" s="1" t="s">
        <v>117</v>
      </c>
    </row>
    <row r="69" spans="1:22" x14ac:dyDescent="0.3">
      <c r="B69" s="1" t="s">
        <v>118</v>
      </c>
    </row>
    <row r="70" spans="1:22" x14ac:dyDescent="0.3">
      <c r="B70" s="1" t="s">
        <v>57</v>
      </c>
      <c r="K70" s="8"/>
      <c r="L70" s="8"/>
      <c r="M70" s="31" t="str">
        <f>L6</f>
        <v>SA-387 Gr 11 CL.2 + S5</v>
      </c>
      <c r="N70" s="31"/>
      <c r="O70" s="31"/>
      <c r="P70" s="31"/>
      <c r="Q70" s="1" t="s">
        <v>119</v>
      </c>
      <c r="U70" s="16" t="s">
        <v>120</v>
      </c>
      <c r="V70" s="16"/>
    </row>
    <row r="71" spans="1:22" x14ac:dyDescent="0.3">
      <c r="B71" s="1" t="s">
        <v>121</v>
      </c>
    </row>
    <row r="73" spans="1:22" x14ac:dyDescent="0.3">
      <c r="A73" s="3" t="s">
        <v>61</v>
      </c>
      <c r="B73" s="1" t="s">
        <v>122</v>
      </c>
    </row>
    <row r="74" spans="1:22" x14ac:dyDescent="0.3">
      <c r="B74" s="1" t="s">
        <v>123</v>
      </c>
    </row>
    <row r="75" spans="1:22" x14ac:dyDescent="0.3">
      <c r="B75" s="1" t="s">
        <v>64</v>
      </c>
    </row>
    <row r="76" spans="1:22" x14ac:dyDescent="0.3">
      <c r="B76" s="1" t="s">
        <v>124</v>
      </c>
    </row>
    <row r="78" spans="1:22" ht="16.5" x14ac:dyDescent="0.3">
      <c r="B78" s="10" t="s">
        <v>66</v>
      </c>
      <c r="C78" s="10"/>
      <c r="D78" s="10"/>
      <c r="E78" s="16" t="str">
        <f>U70</f>
        <v>10.6M</v>
      </c>
      <c r="F78" s="16"/>
      <c r="G78" s="10" t="s">
        <v>67</v>
      </c>
      <c r="H78" s="10" t="s">
        <v>125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pans="1:22" x14ac:dyDescent="0.3">
      <c r="B79" s="10" t="s">
        <v>69</v>
      </c>
      <c r="C79" s="10"/>
      <c r="D79" s="10"/>
      <c r="E79" s="10"/>
      <c r="F79" s="10"/>
      <c r="G79" s="10"/>
      <c r="H79" s="10"/>
      <c r="I79" s="10"/>
    </row>
    <row r="103" spans="1:2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x14ac:dyDescent="0.3">
      <c r="A118" s="1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x14ac:dyDescent="0.3">
      <c r="A119" s="1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x14ac:dyDescent="0.3">
      <c r="A129" s="4"/>
      <c r="B129" s="4"/>
      <c r="C129" s="4"/>
      <c r="D129" s="4"/>
      <c r="E129" s="4"/>
      <c r="F129" s="5"/>
      <c r="G129" s="5"/>
      <c r="H129" s="5"/>
      <c r="I129" s="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x14ac:dyDescent="0.3">
      <c r="A130" s="4"/>
      <c r="B130" s="4"/>
      <c r="C130" s="4"/>
      <c r="D130" s="4"/>
      <c r="E130" s="4"/>
      <c r="F130" s="5"/>
      <c r="G130" s="5"/>
      <c r="H130" s="5"/>
      <c r="I130" s="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x14ac:dyDescent="0.3">
      <c r="A135" s="4"/>
      <c r="B135" s="4"/>
      <c r="C135" s="4"/>
      <c r="D135" s="4"/>
      <c r="E135" s="4"/>
      <c r="F135" s="5"/>
      <c r="G135" s="5"/>
      <c r="H135" s="5"/>
      <c r="I135" s="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x14ac:dyDescent="0.3">
      <c r="A136" s="4"/>
      <c r="B136" s="4"/>
      <c r="C136" s="4"/>
      <c r="D136" s="4"/>
      <c r="E136" s="4"/>
      <c r="F136" s="5"/>
      <c r="G136" s="5"/>
      <c r="H136" s="5"/>
      <c r="I136" s="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x14ac:dyDescent="0.3">
      <c r="A141" s="4"/>
      <c r="B141" s="4"/>
      <c r="C141" s="4"/>
      <c r="D141" s="4"/>
      <c r="E141" s="4"/>
      <c r="F141" s="5"/>
      <c r="G141" s="5"/>
      <c r="H141" s="5"/>
      <c r="I141" s="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x14ac:dyDescent="0.3">
      <c r="A142" s="4"/>
      <c r="B142" s="4"/>
      <c r="C142" s="4"/>
      <c r="D142" s="4"/>
      <c r="E142" s="4"/>
      <c r="F142" s="5"/>
      <c r="G142" s="5"/>
      <c r="H142" s="5"/>
      <c r="I142" s="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x14ac:dyDescent="0.3">
      <c r="A147" s="4"/>
      <c r="B147" s="4"/>
      <c r="C147" s="4"/>
      <c r="D147" s="4"/>
      <c r="E147" s="4"/>
      <c r="F147" s="5"/>
      <c r="G147" s="5"/>
      <c r="H147" s="5"/>
      <c r="I147" s="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x14ac:dyDescent="0.3">
      <c r="A148" s="4"/>
      <c r="B148" s="4"/>
      <c r="C148" s="4"/>
      <c r="D148" s="4"/>
      <c r="E148" s="4"/>
      <c r="F148" s="5"/>
      <c r="G148" s="5"/>
      <c r="H148" s="5"/>
      <c r="I148" s="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x14ac:dyDescent="0.3">
      <c r="A153" s="4"/>
      <c r="B153" s="4"/>
      <c r="C153" s="4"/>
      <c r="D153" s="4"/>
      <c r="E153" s="4"/>
      <c r="F153" s="5"/>
      <c r="G153" s="5"/>
      <c r="H153" s="5"/>
      <c r="I153" s="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x14ac:dyDescent="0.3">
      <c r="A154" s="4"/>
      <c r="B154" s="4"/>
      <c r="C154" s="4"/>
      <c r="D154" s="4"/>
      <c r="E154" s="4"/>
      <c r="F154" s="5"/>
      <c r="G154" s="5"/>
      <c r="H154" s="5"/>
      <c r="I154" s="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x14ac:dyDescent="0.3">
      <c r="A159" s="4"/>
      <c r="B159" s="4"/>
      <c r="C159" s="4"/>
      <c r="D159" s="4"/>
      <c r="E159" s="4"/>
      <c r="F159" s="5"/>
      <c r="G159" s="5"/>
      <c r="H159" s="5"/>
      <c r="I159" s="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x14ac:dyDescent="0.3">
      <c r="A160" s="4"/>
      <c r="B160" s="4"/>
      <c r="C160" s="4"/>
      <c r="D160" s="4"/>
      <c r="E160" s="4"/>
      <c r="F160" s="5"/>
      <c r="G160" s="5"/>
      <c r="H160" s="5"/>
      <c r="I160" s="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x14ac:dyDescent="0.3">
      <c r="A167" s="1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x14ac:dyDescent="0.3">
      <c r="A175" s="4"/>
      <c r="B175" s="4"/>
      <c r="C175" s="4"/>
      <c r="D175" s="4"/>
      <c r="E175" s="4"/>
      <c r="F175" s="4"/>
      <c r="G175" s="4"/>
      <c r="H175" s="5"/>
      <c r="I175" s="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x14ac:dyDescent="0.3">
      <c r="A177" s="1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2"/>
      <c r="R184" s="5"/>
      <c r="S184" s="5"/>
      <c r="T184" s="5"/>
      <c r="U184" s="4"/>
    </row>
    <row r="185" spans="1:2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x14ac:dyDescent="0.3">
      <c r="A187" s="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</row>
    <row r="188" spans="1:2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</sheetData>
  <mergeCells count="47">
    <mergeCell ref="L8:V8"/>
    <mergeCell ref="A1:W1"/>
    <mergeCell ref="L4:V4"/>
    <mergeCell ref="L5:V5"/>
    <mergeCell ref="L6:V6"/>
    <mergeCell ref="L7:V7"/>
    <mergeCell ref="L9:V9"/>
    <mergeCell ref="L10:V10"/>
    <mergeCell ref="L11:V11"/>
    <mergeCell ref="L12:V12"/>
    <mergeCell ref="B14:F14"/>
    <mergeCell ref="G14:J14"/>
    <mergeCell ref="K14:N14"/>
    <mergeCell ref="O14:R14"/>
    <mergeCell ref="S14:V14"/>
    <mergeCell ref="B16:F16"/>
    <mergeCell ref="G16:J16"/>
    <mergeCell ref="K16:N16"/>
    <mergeCell ref="O16:R16"/>
    <mergeCell ref="S16:V16"/>
    <mergeCell ref="B15:F15"/>
    <mergeCell ref="G15:J15"/>
    <mergeCell ref="K15:N15"/>
    <mergeCell ref="O15:R15"/>
    <mergeCell ref="S15:V15"/>
    <mergeCell ref="B18:F18"/>
    <mergeCell ref="G18:J18"/>
    <mergeCell ref="K18:N18"/>
    <mergeCell ref="O18:R18"/>
    <mergeCell ref="S18:V18"/>
    <mergeCell ref="B17:F17"/>
    <mergeCell ref="G17:J17"/>
    <mergeCell ref="K17:N17"/>
    <mergeCell ref="O17:R17"/>
    <mergeCell ref="S17:V17"/>
    <mergeCell ref="E78:F78"/>
    <mergeCell ref="G25:J25"/>
    <mergeCell ref="G26:J26"/>
    <mergeCell ref="G27:J27"/>
    <mergeCell ref="E34:G34"/>
    <mergeCell ref="F44:I44"/>
    <mergeCell ref="F51:I51"/>
    <mergeCell ref="F63:I63"/>
    <mergeCell ref="F65:I65"/>
    <mergeCell ref="F66:I66"/>
    <mergeCell ref="M70:P70"/>
    <mergeCell ref="U70:V70"/>
  </mergeCells>
  <phoneticPr fontId="2" type="noConversion"/>
  <pageMargins left="0.7" right="0.7" top="0.75" bottom="0.75" header="0.3" footer="0.3"/>
  <pageSetup paperSize="9" scale="93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Example Problem 1</vt:lpstr>
      <vt:lpstr>712-C-710_EP1_CS</vt:lpstr>
      <vt:lpstr>712-C-910_EP1_1.25cr-0.5Mo</vt:lpstr>
      <vt:lpstr>'712-C-710_EP1_CS'!Print_Area</vt:lpstr>
      <vt:lpstr>'712-C-910_EP1_1.25cr-0.5Mo'!Print_Area</vt:lpstr>
      <vt:lpstr>'Example Problem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</dc:creator>
  <cp:lastModifiedBy>gs</cp:lastModifiedBy>
  <dcterms:created xsi:type="dcterms:W3CDTF">2019-08-26T23:31:11Z</dcterms:created>
  <dcterms:modified xsi:type="dcterms:W3CDTF">2019-08-26T23:34:11Z</dcterms:modified>
</cp:coreProperties>
</file>